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8bd2cfc21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전체 로드맵" sheetId="1" r:id="R1fc03a9815c44132"/>
    <x:sheet xmlns:r="http://schemas.openxmlformats.org/officeDocument/2006/relationships" name="01_나의 아이덴티티" sheetId="2" r:id="Rb1f6d37823524284"/>
    <x:sheet xmlns:r="http://schemas.openxmlformats.org/officeDocument/2006/relationships" name="02_프로덕션 정체성" sheetId="3" r:id="R752e4125b1fd455f"/>
    <x:sheet xmlns:r="http://schemas.openxmlformats.org/officeDocument/2006/relationships" name="03_브랜드명 후보" sheetId="4" r:id="R3d1f0b52e6a542fe"/>
    <x:sheet xmlns:r="http://schemas.openxmlformats.org/officeDocument/2006/relationships" name="04_슬로건 후보" sheetId="5" r:id="R58acc6349b2e4bcd"/>
    <x:sheet xmlns:r="http://schemas.openxmlformats.org/officeDocument/2006/relationships" name="05_최종 선정" sheetId="6" r:id="R98d10073208342f2"/>
    <x:sheet xmlns:r="http://schemas.openxmlformats.org/officeDocument/2006/relationships" name="06_나를 정의하는 질문" sheetId="7" r:id="Rb75f01670cd244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yyyy-mm-dd"/>
  </x:numFmts>
  <x:fonts count="1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2"/>
      <x:color rgb="FF17324D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4"/>
      <x:color rgb="FF17324D"/>
      <x:name val="Carlito"/>
    </x:font>
    <x:font>
      <x:i/>
      <x:sz val="9"/>
      <x:color rgb="FF6B7280"/>
      <x:name val="Carlito"/>
    </x:font>
    <x:font>
      <x:b/>
      <x:sz val="28"/>
      <x:color rgb="FFFFFFFF"/>
      <x:name val="Carlito"/>
    </x:font>
    <x:font>
      <x:b/>
      <x:sz val="20"/>
      <x:color rgb="FF172554"/>
      <x:name val="Carlito"/>
    </x:font>
    <x:font>
      <x:b/>
      <x:sz val="14"/>
      <x:color rgb="FF1E293B"/>
      <x:name val="Carlito"/>
    </x:font>
    <x:font>
      <x:sz val="11"/>
      <x:color rgb="FF334155"/>
      <x:name val="Carlito"/>
    </x:font>
    <x:font>
      <x:b/>
      <x:i/>
      <x:sz val="9"/>
      <x:color rgb="FF64748B"/>
      <x:name val="Carlito"/>
    </x:font>
    <x:font>
      <x:b/>
      <x:sz val="13"/>
      <x:color rgb="FFFFFFFF"/>
      <x:name val="Carlito"/>
    </x:font>
    <x:font>
      <x:b/>
      <x:sz val="10"/>
      <x:color rgb="FF172554"/>
      <x:name val="Carlito"/>
    </x:font>
    <x:font>
      <x:b/>
      <x:sz val="10"/>
      <x:color rgb="FF166534"/>
      <x:name val="Carlito"/>
    </x:font>
    <x:font>
      <x:b/>
      <x:sz val="10"/>
      <x:color rgb="FF1E3A8A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B"/>
      </x:patternFill>
    </x:fill>
    <x:fill>
      <x:patternFill patternType="solid">
        <x:fgColor rgb="FFDFF4EC"/>
      </x:patternFill>
    </x:fill>
    <x:fill>
      <x:patternFill patternType="solid">
        <x:fgColor rgb="FF2F6690"/>
      </x:patternFill>
    </x:fill>
    <x:fill>
      <x:patternFill patternType="solid">
        <x:fgColor rgb="FFFFF4CC"/>
      </x:patternFill>
    </x:fill>
    <x:fill>
      <x:patternFill patternType="solid">
        <x:fgColor rgb="FFFCE5CD"/>
      </x:patternFill>
    </x:fill>
    <x:fill>
      <x:patternFill patternType="solid">
        <x:fgColor rgb="FFF3F4F6"/>
      </x:patternFill>
    </x:fill>
    <x:fill>
      <x:patternFill patternType="solid">
        <x:fgColor rgb="FF172554"/>
      </x:patternFill>
    </x:fill>
    <x:fill>
      <x:patternFill patternType="solid">
        <x:fgColor rgb="FFFACC15"/>
      </x:patternFill>
    </x:fill>
    <x:fill>
      <x:patternFill patternType="solid">
        <x:fgColor rgb="FFFEF3C7"/>
      </x:patternFill>
    </x:fill>
    <x:fill>
      <x:patternFill patternType="solid">
        <x:fgColor rgb="FFEFF6FF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horizontal="center"/>
    </x:xf>
    <x:xf numFmtId="201" fontId="6" fillId="7" borderId="0" xfId="0" applyNumberFormat="1" applyFont="1" applyFill="1" applyBorder="1" applyAlignment="1">
      <x:alignment horizontal="center"/>
    </x:xf>
    <x:xf numFmtId="201" fontId="6" fillId="7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7" fillId="8" borderId="0" xfId="0" applyNumberFormat="1" applyFont="1" applyFill="1" applyBorder="1"/>
    <x:xf numFmtId="20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20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200" fontId="7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0" fontId="7" fillId="8" borderId="1" xfId="0" applyNumberFormat="1" applyFont="1" applyFill="1" applyBorder="1"/>
    <x:xf numFmtId="20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20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200" fontId="7" fillId="8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left" vertic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left" vertic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 applyAlignment="1">
      <x:alignment horizontal="left" vertical="center"/>
    </x:xf>
    <x:xf numFmtId="0" fontId="12" fillId="4" borderId="0" xfId="0" applyNumberFormat="1" applyFont="1" applyFill="1" applyBorder="1" applyAlignment="1">
      <x:alignment horizontal="center" vertical="center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horizontal="center" vertical="center" wrapText="1"/>
    </x:xf>
    <x:xf numFmtId="0" fontId="13" fillId="13" borderId="0" xfId="0" applyNumberFormat="1" applyFont="1" applyFill="1" applyBorder="1" applyAlignment="1">
      <x:alignment horizontal="left" vertical="center" wrapText="1"/>
    </x:xf>
    <x:xf numFmtId="0" fontId="5" fillId="14" borderId="0" xfId="0" applyNumberFormat="1" applyFont="1" applyFill="1" applyBorder="1" applyAlignment="1">
      <x:alignment vertical="top" wrapText="1"/>
    </x:xf>
    <x:xf numFmtId="0" fontId="14" fillId="14" borderId="0" xfId="0" applyNumberFormat="1" applyFont="1" applyFill="1" applyBorder="1" applyAlignment="1">
      <x:alignment vertical="top" wrapText="1"/>
    </x:xf>
    <x:xf numFmtId="0" fontId="14" fillId="14" xfId="0" applyNumberFormat="1" applyFont="1" applyFill="1" applyBorder="0" applyAlignment="1">
      <x:alignment vertical="top" wrapText="1"/>
    </x:xf>
    <x:xf numFmtId="0" fontId="14" fillId="14" xfId="0" applyNumberFormat="1" applyFont="1" applyFill="1" applyBorder="0" applyAlignment="1">
      <x:alignment horizontal="center" vertical="top" wrapText="1"/>
    </x:xf>
    <x:xf numFmtId="0" fontId="14" fillId="14" xfId="0" applyNumberFormat="1" applyFont="1" applyFill="1" applyBorder="0" applyAlignment="1">
      <x:alignment horizontal="center" vertical="center" wrapText="1"/>
    </x:xf>
    <x:xf numFmtId="0" fontId="5" fillId="0" xfId="0" applyNumberFormat="1" applyFont="1" applyFill="1" applyBorder="0" applyAlignment="1">
      <x:alignment vertical="top" wrapText="1"/>
    </x:xf>
    <x:xf numFmtId="0" fontId="0" fillId="0" xfId="0" applyNumberFormat="1" applyFont="1" applyFill="1" applyBorder="0"/>
    <x:xf numFmtId="0" fontId="3" fillId="4" xfId="0" applyNumberFormat="1" applyFont="1" applyFill="1" applyBorder="0" applyAlignment="1">
      <x:alignment horizontal="left" vertical="center"/>
    </x:xf>
    <x:xf numFmtId="0" fontId="0" fillId="0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horizontal="left" vertical="center" wrapText="1"/>
    </x:xf>
    <x:xf numFmtId="0" fontId="5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5" fillId="0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3" fillId="4" xfId="0" applyNumberFormat="1" applyFont="1" applyFill="1" applyBorder="0" applyAlignment="1">
      <x:alignment horizontal="center" vertical="center" wrapText="1"/>
    </x:xf>
    <x:xf numFmtId="0" fontId="5" fillId="11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horizontal="center"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16" fillId="12" borderId="0" xfId="0" applyNumberFormat="1" applyFont="1" applyFill="1" applyBorder="1" applyAlignment="1">
      <x:alignment vertical="top" wrapText="1"/>
    </x:xf>
    <x:xf numFmtId="201" fontId="5" fillId="11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0">
    <x:dxf>
      <x:font>
        <x:b/>
        <x:color rgb="FF3D8B6D"/>
      </x:font>
      <x:fill>
        <x:patternFill>
          <x:bgColor rgb="FFE2F0D9"/>
        </x:patternFill>
      </x:fill>
    </x:dxf>
    <x:dxf>
      <x:font>
        <x:b/>
      </x:font>
      <x:fill>
        <x:patternFill>
          <x:bgColor rgb="FFFFF4CC"/>
        </x:patternFill>
      </x:fill>
    </x:dxf>
    <x:dxf>
      <x:font>
        <x:color rgb="FFC0504D"/>
      </x:font>
      <x:fill>
        <x:patternFill>
          <x:bgColor rgb="FFF4CCCC"/>
        </x:patternFill>
      </x:fill>
    </x:dxf>
    <x:dxf>
      <x:font>
        <x:b/>
        <x:color rgb="FF3D8B6D"/>
      </x:font>
      <x:fill>
        <x:patternFill>
          <x:bgColor rgb="FFE2F0D9"/>
        </x:patternFill>
      </x:fill>
    </x:dxf>
    <x:dxf>
      <x:font>
        <x:b/>
      </x:font>
      <x:fill>
        <x:patternFill>
          <x:bgColor rgb="FFFFF4CC"/>
        </x:patternFill>
      </x:fill>
    </x:dxf>
    <x:dxf>
      <x:font>
        <x:color rgb="FFC0504D"/>
      </x:font>
      <x:fill>
        <x:patternFill>
          <x:bgColor rgb="FFF4CCCC"/>
        </x:patternFill>
      </x:fill>
    </x:dxf>
    <x:dxf>
      <x:font>
        <x:b/>
        <x:color rgb="FF3D8B6D"/>
      </x:font>
      <x:fill>
        <x:patternFill>
          <x:bgColor rgb="FFE2F0D9"/>
        </x:patternFill>
      </x:fill>
    </x:dxf>
    <x:dxf>
      <x:font>
        <x:b/>
      </x:font>
      <x:fill>
        <x:patternFill>
          <x:bgColor rgb="FFFFF4CC"/>
        </x:patternFill>
      </x:fill>
    </x:dxf>
    <x:dxf>
      <x:font>
        <x:color rgb="FFC0504D"/>
      </x:font>
      <x:fill>
        <x:patternFill>
          <x:bgColor rgb="FFF4CCCC"/>
        </x:patternFill>
      </x:fill>
    </x:dxf>
    <x:dxf>
      <x:font>
        <x:b/>
        <x:color rgb="FF3D8B6D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07107553f405a" /><Relationship Type="http://schemas.openxmlformats.org/officeDocument/2006/relationships/theme" Target="/xl/theme/theme1.xml" Id="R56b08d2550e94a3c" /><Relationship Type="http://schemas.openxmlformats.org/officeDocument/2006/relationships/sharedStrings" Target="/xl/sharedStrings.xml" Id="R6e597f56d9ed4dd6" /><Relationship Type="http://schemas.openxmlformats.org/officeDocument/2006/relationships/worksheet" Target="/xl/worksheets/sheet1.xml" Id="R1fc03a9815c44132" /><Relationship Type="http://schemas.openxmlformats.org/officeDocument/2006/relationships/worksheet" Target="/xl/worksheets/sheet2.xml" Id="Rb1f6d37823524284" /><Relationship Type="http://schemas.openxmlformats.org/officeDocument/2006/relationships/worksheet" Target="/xl/worksheets/sheet3.xml" Id="R752e4125b1fd455f" /><Relationship Type="http://schemas.openxmlformats.org/officeDocument/2006/relationships/worksheet" Target="/xl/worksheets/sheet4.xml" Id="R3d1f0b52e6a542fe" /><Relationship Type="http://schemas.openxmlformats.org/officeDocument/2006/relationships/worksheet" Target="/xl/worksheets/sheet5.xml" Id="R58acc6349b2e4bcd" /><Relationship Type="http://schemas.openxmlformats.org/officeDocument/2006/relationships/worksheet" Target="/xl/worksheets/sheet6.xml" Id="R98d10073208342f2" /><Relationship Type="http://schemas.openxmlformats.org/officeDocument/2006/relationships/worksheet" Target="/xl/worksheets/sheet7.xml" Id="Rb75f01670cd244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037348f722402c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총점</c:v>
          </c:tx>
          <c:cat>
            <c:strRef>
              <c:f>'03_브랜드명 후보'!$B$6:$B$23</c:f>
              <c:strCache>
                <c:ptCount val="0"/>
              </c:strCache>
            </c:strRef>
          </c:cat>
          <c:val>
            <c:numRef>
              <c:f>'03_브랜드명 후보'!$L$6:$L$23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037348f72240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2be3e3ef3bb498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4" hidden="0" customWidth="1"/>
    <x:col min="4" max="4" width="30" hidden="0" customWidth="1"/>
    <x:col min="5" max="5" width="13" hidden="0" customWidth="1"/>
    <x:col min="6" max="6" width="34" hidden="0" customWidth="1"/>
    <x:col min="7" max="7" width="12" hidden="0" customWidth="1"/>
    <x:col min="8" max="8" width="24" hidden="0" customWidth="1"/>
  </x:cols>
  <x:sheetData>
    <x:row r="1" ht="46" hidden="0" customHeight="1">
      <x:c r="A1" s="89" t="str">
        <x:v>수학착착</x:v>
      </x:c>
      <x:c r="B1" s="89"/>
      <x:c r="C1" s="89"/>
      <x:c r="D1" s="89"/>
      <x:c r="E1" s="89"/>
      <x:c r="F1" s="89"/>
      <x:c r="G1" s="89"/>
      <x:c r="H1" s="89"/>
    </x:row>
    <x:row r="2" ht="38" hidden="0" customHeight="1">
      <x:c r="A2" s="92" t="str">
        <x:v>수학이 착착, 공식이 척척.</x:v>
      </x:c>
      <x:c r="B2" s="92"/>
      <x:c r="C2" s="92"/>
      <x:c r="D2" s="92"/>
      <x:c r="E2" s="92"/>
      <x:c r="F2" s="92"/>
      <x:c r="G2" s="92"/>
      <x:c r="H2" s="92"/>
    </x:row>
    <x:row r="3" ht="30" hidden="0" customHeight="1">
      <x:c r="A3" s="95" t="str">
        <x:v>쉽게 이해하고, 오래 기억하고, 문제는 스스로.</x:v>
      </x:c>
      <x:c r="B3" s="95"/>
      <x:c r="C3" s="95"/>
      <x:c r="D3" s="95"/>
      <x:c r="E3" s="95"/>
      <x:c r="F3" s="95"/>
      <x:c r="G3" s="95"/>
      <x:c r="H3" s="95"/>
    </x:row>
    <x:row r="4" ht="28" customHeight="1">
      <x:c r="A4" s="99" t="str">
        <x:v>아이에게 맞춰 설명하고, 공식·수식을 함께 익히는 1:1 AI 수학 튜터</x:v>
      </x:c>
      <x:c r="B4" s="99"/>
      <x:c r="C4" s="99"/>
      <x:c r="D4" s="99"/>
      <x:c r="E4" s="99"/>
      <x:c r="F4" s="99"/>
      <x:c r="G4" s="99"/>
      <x:c r="H4" s="99"/>
    </x:row>
    <x:row r="5" ht="20" hidden="0" customHeight="1">
      <x:c r="A5" s="101" t="str">
        <x:v>※ 브랜드명·슬로건 1차 확정안 — 상표·도메인 선행검증 전</x:v>
      </x:c>
      <x:c r="B5" s="101"/>
      <x:c r="C5" s="101"/>
      <x:c r="D5" s="101"/>
      <x:c r="E5" s="101"/>
      <x:c r="F5" s="101"/>
      <x:c r="G5" s="101"/>
      <x:c r="H5" s="101"/>
    </x:row>
    <x:row r="6">
      <x:c r="A6"/>
      <x:c r="B6"/>
      <x:c r="C6"/>
      <x:c r="D6"/>
      <x:c r="E6"/>
      <x:c r="F6"/>
      <x:c r="G6"/>
      <x:c r="H6"/>
    </x:row>
    <x:row r="7" ht="26" hidden="0" customHeight="1">
      <x:c r="A7" s="104" t="str">
        <x:v>판서 기반 실전 작업 순서</x:v>
      </x:c>
      <x:c r="B7" s="104"/>
      <x:c r="C7" s="104"/>
      <x:c r="D7" s="104"/>
      <x:c r="E7" s="104"/>
      <x:c r="F7" s="104"/>
      <x:c r="G7" s="104"/>
      <x:c r="H7" s="104"/>
    </x:row>
    <x:row r="8" ht="15" hidden="0" customHeight="1">
      <x:c r="A8" s="40"/>
      <x:c r="B8" s="40"/>
      <x:c r="C8" s="40"/>
      <x:c r="D8" s="40"/>
      <x:c r="E8" s="40"/>
      <x:c r="F8" s="40"/>
      <x:c r="G8" s="40"/>
      <x:c r="H8" s="40"/>
    </x:row>
    <x:row r="9" ht="30" hidden="0" customHeight="1">
      <x:c r="A9" s="109" t="str">
        <x:v>단계</x:v>
      </x:c>
      <x:c r="B9" s="109" t="str">
        <x:v>작업명</x:v>
      </x:c>
      <x:c r="C9" s="109" t="str">
        <x:v>핵심 질문</x:v>
      </x:c>
      <x:c r="D9" s="109" t="str">
        <x:v>주요 산출물</x:v>
      </x:c>
      <x:c r="E9" s="109" t="str">
        <x:v>현재 상태</x:v>
      </x:c>
      <x:c r="F9" s="109" t="str">
        <x:v>완료 기준</x:v>
      </x:c>
      <x:c r="G9" s="109" t="str">
        <x:v>담당</x:v>
      </x:c>
      <x:c r="H9" s="109" t="str">
        <x:v>메모</x:v>
      </x:c>
    </x:row>
    <x:row r="10" ht="15" hidden="0" customHeight="1">
      <x:c r="A10" s="117" t="n">
        <x:v>1</x:v>
      </x:c>
      <x:c r="B10" s="115" t="str">
        <x:v>아이덴티티 설정</x:v>
      </x:c>
      <x:c r="C10" s="115" t="str">
        <x:v>나는 누구이며, 이 프로젝트를 왜 만드는가?</x:v>
      </x:c>
      <x:c r="D10" s="115" t="str">
        <x:v>창업자 정의·브랜드명·슬로건</x:v>
      </x:c>
      <x:c r="E10" s="117" t="str">
        <x:v>1차 확정</x:v>
      </x:c>
      <x:c r="F10" s="115" t="str">
        <x:v>브랜드명·슬로건·브랜드 약속이 한 문장으로 연결됨</x:v>
      </x:c>
      <x:c r="G10" s="115" t="str">
        <x:v>사용자</x:v>
      </x:c>
      <x:c r="H10" s="115" t="str">
        <x:v>상표·도메인 검증 필요</x:v>
      </x:c>
    </x:row>
    <x:row r="11" ht="15" hidden="0" customHeight="1">
      <x:c r="A11" s="117" t="n">
        <x:v>2</x:v>
      </x:c>
      <x:c r="B11" s="115" t="str">
        <x:v>시장·경쟁 재정의</x:v>
      </x:c>
      <x:c r="C11" s="115" t="str">
        <x:v>기존 수학 학습 서비스와 무엇이 다른가?</x:v>
      </x:c>
      <x:c r="D11" s="115" t="str">
        <x:v>시장 문제·경쟁 포지션·차별점</x:v>
      </x:c>
      <x:c r="E11" s="117" t="str">
        <x:v>대기</x:v>
      </x:c>
      <x:c r="F11" s="115" t="str">
        <x:v>경쟁축과 빈 공간이 명확함</x:v>
      </x:c>
      <x:c r="G11" s="115"/>
      <x:c r="H11" s="115" t="str">
        <x:v>다음 단계</x:v>
      </x:c>
    </x:row>
    <x:row r="12" ht="15" hidden="0" customHeight="1">
      <x:c r="A12" s="117" t="n">
        <x:v>3</x:v>
      </x:c>
      <x:c r="B12" s="115" t="str">
        <x:v>디자인 방향</x:v>
      </x:c>
      <x:c r="C12" s="115" t="str">
        <x:v>아이와 부모가 어떤 느낌을 받아야 하는가?</x:v>
      </x:c>
      <x:c r="D12" s="115" t="str">
        <x:v>무드·타이포·시각언어</x:v>
      </x:c>
      <x:c r="E12" s="117" t="str">
        <x:v>대기</x:v>
      </x:c>
      <x:c r="F12" s="115" t="str">
        <x:v>브랜드 성격이 시각 원칙으로 연결됨</x:v>
      </x:c>
      <x:c r="G12" s="115"/>
      <x:c r="H12" s="115"/>
    </x:row>
    <x:row r="13" ht="15" hidden="0" customHeight="1">
      <x:c r="A13" s="117" t="n">
        <x:v>4</x:v>
      </x:c>
      <x:c r="B13" s="115" t="str">
        <x:v>핵심 상품·콘텐츠</x:v>
      </x:c>
      <x:c r="C13" s="115" t="str">
        <x:v>무엇을 어떻게 배우게 할 것인가?</x:v>
      </x:c>
      <x:c r="D13" s="115" t="str">
        <x:v>학습 구조·콘텐츠 모듈·상품 구성</x:v>
      </x:c>
      <x:c r="E13" s="117" t="str">
        <x:v>대기</x:v>
      </x:c>
      <x:c r="F13" s="115" t="str">
        <x:v>대표 학습 경험 1개가 설명 가능함</x:v>
      </x:c>
      <x:c r="G13" s="115"/>
      <x:c r="H13" s="115"/>
    </x:row>
    <x:row r="14" ht="15" hidden="0" customHeight="1">
      <x:c r="A14" s="117" t="n">
        <x:v>5</x:v>
      </x:c>
      <x:c r="B14" s="115" t="str">
        <x:v>터치포인트 설계</x:v>
      </x:c>
      <x:c r="C14" s="115" t="str">
        <x:v>고객이 어디에서 브랜드를 만나는가?</x:v>
      </x:c>
      <x:c r="D14" s="115" t="str">
        <x:v>광고·랜딩·체험·결제·학습 흐름</x:v>
      </x:c>
      <x:c r="E14" s="117" t="str">
        <x:v>대기</x:v>
      </x:c>
      <x:c r="F14" s="115" t="str">
        <x:v>사용자 여정별 메시지가 정리됨</x:v>
      </x:c>
      <x:c r="G14" s="115"/>
      <x:c r="H14" s="115"/>
    </x:row>
    <x:row r="15" ht="15" hidden="0" customHeight="1">
      <x:c r="A15" s="117" t="n">
        <x:v>6</x:v>
      </x:c>
      <x:c r="B15" s="115" t="str">
        <x:v>레이어·기능 구조</x:v>
      </x:c>
      <x:c r="C15" s="115" t="str">
        <x:v>정보와 기능을 어떤 순서로 보여줄 것인가?</x:v>
      </x:c>
      <x:c r="D15" s="115" t="str">
        <x:v>페이지 계층·기능 우선순위</x:v>
      </x:c>
      <x:c r="E15" s="117" t="str">
        <x:v>대기</x:v>
      </x:c>
      <x:c r="F15" s="115" t="str">
        <x:v>한 화면 한 목적 원칙 충족</x:v>
      </x:c>
      <x:c r="G15" s="115"/>
      <x:c r="H15" s="115"/>
    </x:row>
    <x:row r="16">
      <x:c r="A16" s="118" t="n">
        <x:v>7</x:v>
      </x:c>
      <x:c r="B16" s="116" t="str">
        <x:v>컴포넌트·컬러보드</x:v>
      </x:c>
      <x:c r="C16" s="116" t="str">
        <x:v>반복해서 사용할 디자인 규칙은 무엇인가?</x:v>
      </x:c>
      <x:c r="D16" s="116" t="str">
        <x:v>UI 부품·색상·아이콘·상태 규칙</x:v>
      </x:c>
      <x:c r="E16" s="118" t="str">
        <x:v>대기</x:v>
      </x:c>
      <x:c r="F16" s="116" t="str">
        <x:v>디자인 시스템 초안 완성</x:v>
      </x:c>
      <x:c r="G16" s="116"/>
      <x:c r="H16" s="116"/>
    </x:row>
    <x:row r="17" ht="15" hidden="0" customHeight="1">
      <x:c r="A17" s="119" t="n">
        <x:v>8</x:v>
      </x:c>
      <x:c r="B17" s="114" t="str">
        <x:v>반복·검증</x:v>
      </x:c>
      <x:c r="C17" s="114" t="str">
        <x:v>아이와 부모가 실제로 이해하고 행동하는가?</x:v>
      </x:c>
      <x:c r="D17" s="114" t="str">
        <x:v>테스트 결과·개선 이력</x:v>
      </x:c>
      <x:c r="E17" s="119" t="str">
        <x:v>대기</x:v>
      </x:c>
      <x:c r="F17" s="114" t="str">
        <x:v>테스트 → 수정 → 재검증 순환</x:v>
      </x:c>
      <x:c r="G17" s="114"/>
      <x:c r="H17" s="114"/>
    </x:row>
    <x:row r="18">
      <x:c r="A18"/>
      <x:c r="B18"/>
      <x:c r="C18"/>
      <x:c r="D18"/>
      <x:c r="E18"/>
      <x:c r="F18"/>
      <x:c r="G18"/>
      <x:c r="H18"/>
    </x:row>
    <x:row r="19" ht="26" hidden="0" customHeight="1">
      <x:c r="A19" s="104" t="str">
        <x:v>현재 단계의 의사결정 원칙</x:v>
      </x:c>
      <x:c r="B19" s="104"/>
      <x:c r="C19" s="104"/>
      <x:c r="D19" s="104"/>
      <x:c r="E19" s="104"/>
      <x:c r="F19" s="104"/>
      <x:c r="G19" s="104"/>
      <x:c r="H19" s="104"/>
    </x:row>
    <x:row r="20" ht="36" hidden="0" customHeight="1">
      <x:c r="A20" s="40"/>
      <x:c r="B20" s="40"/>
      <x:c r="C20" s="40"/>
      <x:c r="D20" s="40"/>
      <x:c r="E20" s="40"/>
      <x:c r="F20" s="40"/>
      <x:c r="G20" s="40"/>
      <x:c r="H20" s="40"/>
    </x:row>
    <x:row r="21" ht="30" hidden="0" customHeight="1">
      <x:c r="A21" s="109" t="str">
        <x:v>원칙</x:v>
      </x:c>
      <x:c r="B21" s="109" t="str">
        <x:v>적용 기준</x:v>
      </x:c>
      <x:c r="C21" s="109"/>
      <x:c r="D21" s="109"/>
      <x:c r="E21" s="109"/>
      <x:c r="F21" s="109"/>
      <x:c r="G21" s="109"/>
      <x:c r="H21" s="109"/>
    </x:row>
    <x:row r="22" ht="36" hidden="0" customHeight="1">
      <x:c r="A22" s="115" t="str">
        <x:v>나를 먼저 정의</x:v>
      </x:c>
      <x:c r="B22" s="115" t="str">
        <x:v>브랜드는 ‘수학을 못하는 아이를 탓하지 않고, 설명 방식을 바꾸는 사람’이라는 창업자 관점에서 출발한다.</x:v>
      </x:c>
      <x:c r="C22" s="115"/>
      <x:c r="D22" s="115"/>
      <x:c r="E22" s="115"/>
      <x:c r="F22" s="115"/>
      <x:c r="G22" s="115"/>
      <x:c r="H22" s="115"/>
    </x:row>
    <x:row r="23" ht="36" hidden="0" customHeight="1">
      <x:c r="A23" s="115" t="str">
        <x:v>아이에게 맞추기</x:v>
      </x:c>
      <x:c r="B23" s="115" t="str">
        <x:v>아이가 브랜드에 맞추는 것이 아니라, 설명·기억·반복 방식이 아이에게 맞도록 설계한다.</x:v>
      </x:c>
      <x:c r="C23" s="115"/>
      <x:c r="D23" s="115"/>
      <x:c r="E23" s="115"/>
      <x:c r="F23" s="115"/>
      <x:c r="G23" s="115"/>
      <x:c r="H23" s="115"/>
    </x:row>
    <x:row r="24">
      <x:c r="A24" s="116" t="str">
        <x:v>쉬움과 정확성 동시 확보</x:v>
      </x:c>
      <x:c r="B24" s="116" t="str">
        <x:v>재미만 강조하지 않고 공식과 수식의 의미·표현·적용을 정확히 연결한다.</x:v>
      </x:c>
      <x:c r="C24" s="116"/>
      <x:c r="D24" s="116"/>
      <x:c r="E24" s="116"/>
      <x:c r="F24" s="116"/>
      <x:c r="G24" s="116"/>
      <x:c r="H24" s="116"/>
    </x:row>
    <x:row r="25">
      <x:c r="A25" s="116" t="str">
        <x:v>실전 산출물 중심</x:v>
      </x:c>
      <x:c r="B25" s="116" t="str">
        <x:v>배운 내용을 아이가 문제에서 스스로 떠올려 쓰는 것까지를 제품의 결과로 본다.</x:v>
      </x:c>
      <x:c r="C25" s="116"/>
      <x:c r="D25" s="116"/>
      <x:c r="E25" s="116"/>
      <x:c r="F25" s="116"/>
      <x:c r="G25" s="116"/>
      <x:c r="H25" s="116"/>
    </x:row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B19:H19"/>
    <x:mergeCell ref="B20:H20"/>
    <x:mergeCell ref="B21:H21"/>
    <x:mergeCell ref="B22:H22"/>
    <x:mergeCell ref="B23:H23"/>
    <x:mergeCell ref="A1:H1"/>
    <x:mergeCell ref="A2:H2"/>
    <x:mergeCell ref="A3:H3"/>
    <x:mergeCell ref="A4:H4"/>
    <x:mergeCell ref="A5:H5"/>
    <x:mergeCell ref="A7:H7"/>
    <x:mergeCell ref="A19:H19"/>
  </x:mergeCells>
  <x:conditionalFormatting sqref="E8:E15">
    <x:cfRule type="expression" dxfId="0" priority="1">
      <x:formula>E8="완료"</x:formula>
    </x:cfRule>
    <x:cfRule type="expression" dxfId="1" priority="2">
      <x:formula>E8="진행중"</x:formula>
    </x:cfRule>
    <x:cfRule type="expression" dxfId="2" priority="3">
      <x:formula>E8="보류"</x:formula>
    </x:cfRule>
  </x:conditionalFormatting>
  <x:dataValidations count="1">
    <x:dataValidation type="list" sqref="E8:E15">
      <x:formula1>"진행중,대기,검토,완료,보류"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5" hidden="0" customWidth="1"/>
    <x:col min="4" max="4" width="20" hidden="0" customWidth="1"/>
    <x:col min="5" max="5" width="10" hidden="0" customWidth="1"/>
    <x:col min="6" max="6" width="12" hidden="0" customWidth="1"/>
    <x:col min="7" max="7" width="36" hidden="0" customWidth="1"/>
    <x:col min="8" max="8" width="32" hidden="0" customWidth="1"/>
  </x:cols>
  <x:sheetData>
    <x:row r="1" ht="21.600000381469727" hidden="0" customHeight="1">
      <x:c r="A1" s="5" t="str">
        <x:v>1단계 · 나를 정의하기</x:v>
      </x:c>
      <x:c r="B1" s="5"/>
      <x:c r="C1" s="5"/>
      <x:c r="D1" s="5"/>
      <x:c r="E1" s="5"/>
      <x:c r="F1" s="5"/>
      <x:c r="G1" s="5"/>
      <x:c r="H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  <x:c r="H2" s="5"/>
    </x:row>
    <x:row r="3" ht="145.1999969482422" hidden="0" customHeight="1">
      <x:c r="A3" s="14" t="str">
        <x:v>이 시트의 노란색 셀은 직접 수정하는 영역입니다. 초안은 이전 대화에서 드러난 실전형 문제해결·사람 중심 설계·즉시 활용 가능한 결과물 지향을 반영했습니다.</x:v>
      </x:c>
      <x:c r="B3" s="14"/>
      <x:c r="C3" s="14"/>
      <x:c r="D3" s="14"/>
      <x:c r="E3" s="14"/>
      <x:c r="F3" s="14"/>
      <x:c r="G3" s="14"/>
      <x:c r="H3" s="14"/>
    </x:row>
    <x:row r="4"/>
    <x:row r="5" ht="15" hidden="0" customHeight="1">
      <x:c r="A5" s="23" t="str">
        <x:v>A. 현재 가설 — 나는 어떤 사람인가</x:v>
      </x:c>
      <x:c r="B5" s="23"/>
      <x:c r="C5" s="23"/>
      <x:c r="D5" s="23"/>
      <x:c r="E5" s="23"/>
      <x:c r="F5" s="23"/>
      <x:c r="G5" s="23"/>
      <x:c r="H5" s="23"/>
    </x:row>
    <x:row r="6"/>
    <x:row r="7" ht="24" hidden="0" customHeight="1">
      <x:c r="A7" s="32" t="str">
        <x:v>구분</x:v>
      </x:c>
      <x:c r="B7" s="32" t="str">
        <x:v>현재 정의 초안</x:v>
      </x:c>
      <x:c r="C7" s="32" t="str">
        <x:v>이 프로젝트와의 연결</x:v>
      </x:c>
      <x:c r="D7" s="32" t="str">
        <x:v>핵심 키워드</x:v>
      </x:c>
      <x:c r="E7" s="32" t="str">
        <x:v>중요도
1~5</x:v>
      </x:c>
      <x:c r="F7" s="32" t="str">
        <x:v>판정</x:v>
      </x:c>
      <x:c r="G7" s="32" t="str">
        <x:v>내가 고칠 문장</x:v>
      </x:c>
      <x:c r="H7" s="32" t="str">
        <x:v>근거·메모</x:v>
      </x:c>
    </x:row>
    <x:row r="8" ht="24" hidden="0" customHeight="1">
      <x:c r="A8" s="40" t="str">
        <x:v>직업적 정체성</x:v>
      </x:c>
      <x:c r="B8" s="40" t="str">
        <x:v>복잡한 문제를 실제 실행 순서로 바꾸는 현장형 기획자</x:v>
      </x:c>
      <x:c r="C8" s="40" t="str">
        <x:v>어려운 수학을 아이가 따라갈 수 있는 단계로 재구성</x:v>
      </x:c>
      <x:c r="D8" s="40" t="str">
        <x:v>실전·구조화</x:v>
      </x:c>
      <x:c r="E8" s="40" t="n">
        <x:v>5</x:v>
      </x:c>
      <x:c r="F8" s="40" t="str">
        <x:v>검토</x:v>
      </x:c>
      <x:c r="G8" s="44" t="str"/>
      <x:c r="H8" s="40" t="str">
        <x:v>현장 문제 해결과 디지털 전환 프로젝트를 지속적으로 추진</x:v>
      </x:c>
    </x:row>
    <x:row r="9" ht="15" hidden="0" customHeight="1">
      <x:c r="A9" s="40" t="str">
        <x:v>문제 해결 방식</x:v>
      </x:c>
      <x:c r="B9" s="40" t="str">
        <x:v>문제를 쪼개고, 검증하고, 반복해서 개선한다</x:v>
      </x:c>
      <x:c r="C9" s="40" t="str">
        <x:v>설명 → 연습 → 회상 → 적용의 학습 루프 설계</x:v>
      </x:c>
      <x:c r="D9" s="40" t="str">
        <x:v>단계화·검증</x:v>
      </x:c>
      <x:c r="E9" s="40" t="n">
        <x:v>5</x:v>
      </x:c>
      <x:c r="F9" s="40" t="str">
        <x:v>검토</x:v>
      </x:c>
      <x:c r="G9" s="44" t="str"/>
      <x:c r="H9" s="40" t="str">
        <x:v>판서의 마지막 단계도 반복·개선으로 구성</x:v>
      </x:c>
    </x:row>
    <x:row r="10" ht="24" hidden="0" customHeight="1">
      <x:c r="A10" s="40" t="str">
        <x:v>사람에 대한 관점</x:v>
      </x:c>
      <x:c r="B10" s="40" t="str">
        <x:v>기술과 도구는 사람이 적응하는 것이 아니라 사람에게 맞춰져야 한다</x:v>
      </x:c>
      <x:c r="C10" s="40" t="str">
        <x:v>아이의 수준·속도·흥미에 맞춘 설명 방식</x:v>
      </x:c>
      <x:c r="D10" s="40" t="str">
        <x:v>사람 중심</x:v>
      </x:c>
      <x:c r="E10" s="40" t="n">
        <x:v>5</x:v>
      </x:c>
      <x:c r="F10" s="40" t="str">
        <x:v>검토</x:v>
      </x:c>
      <x:c r="G10" s="44" t="str"/>
      <x:c r="H10" s="40" t="str">
        <x:v>기존 프로젝트의 일관된 설계 원칙</x:v>
      </x:c>
    </x:row>
    <x:row r="11" ht="24" hidden="0" customHeight="1">
      <x:c r="A11" s="40" t="str">
        <x:v>소통 방식</x:v>
      </x:c>
      <x:c r="B11" s="40" t="str">
        <x:v>어려운 내용을 쉬운 말과 눈에 보이는 구조로 설명한다</x:v>
      </x:c>
      <x:c r="C11" s="40" t="str">
        <x:v>공식과 수식의 의미를 이야기·그림·패턴으로 전달</x:v>
      </x:c>
      <x:c r="D11" s="40" t="str">
        <x:v>쉬운 설명</x:v>
      </x:c>
      <x:c r="E11" s="40" t="n">
        <x:v>5</x:v>
      </x:c>
      <x:c r="F11" s="40" t="str">
        <x:v>검토</x:v>
      </x:c>
      <x:c r="G11" s="44" t="str"/>
      <x:c r="H11" s="40" t="str">
        <x:v>전문 내용을 초보자도 실행 가능하게 정리하는 방식을 선호</x:v>
      </x:c>
    </x:row>
    <x:row r="12" ht="24" hidden="0" customHeight="1">
      <x:c r="A12" s="40" t="str">
        <x:v>결과 기준</x:v>
      </x:c>
      <x:c r="B12" s="40" t="str">
        <x:v>설명에서 끝나지 않고 바로 써먹을 수 있는 결과물을 만든다</x:v>
      </x:c>
      <x:c r="C12" s="40" t="str">
        <x:v>배운 공식을 문제에서 실제로 꺼내 쓰게 함</x:v>
      </x:c>
      <x:c r="D12" s="40" t="str">
        <x:v>즉시 활용</x:v>
      </x:c>
      <x:c r="E12" s="40" t="n">
        <x:v>5</x:v>
      </x:c>
      <x:c r="F12" s="40" t="str">
        <x:v>검토</x:v>
      </x:c>
      <x:c r="G12" s="44" t="str"/>
      <x:c r="H12" s="40" t="str">
        <x:v>문서·프로토타입·실행 결과 중심</x:v>
      </x:c>
    </x:row>
    <x:row r="13" ht="24" hidden="0" customHeight="1">
      <x:c r="A13" s="40" t="str">
        <x:v>부모의 관점</x:v>
      </x:c>
      <x:c r="B13" s="40" t="str">
        <x:v>아이가 막히는 지점을 관찰하고 끝까지 해결 방법을 찾는다</x:v>
      </x:c>
      <x:c r="C13" s="40" t="str">
        <x:v>학습자의 좌절 구간을 제품 개선의 출발점으로 사용</x:v>
      </x:c>
      <x:c r="D13" s="40" t="str">
        <x:v>관찰·끈기</x:v>
      </x:c>
      <x:c r="E13" s="40" t="n">
        <x:v>4</x:v>
      </x:c>
      <x:c r="F13" s="40" t="str">
        <x:v>검토</x:v>
      </x:c>
      <x:c r="G13" s="44" t="str"/>
      <x:c r="H13" s="40" t="str">
        <x:v>자녀의 큐브 학습 과정에서도 마무리 문제를 함께 해결</x:v>
      </x:c>
    </x:row>
    <x:row r="14" ht="15" hidden="0" customHeight="1">
      <x:c r="A14" s="40" t="str">
        <x:v>브랜드 성격</x:v>
      </x:c>
      <x:c r="B14" s="40" t="str">
        <x:v>정확하지만 딱딱하지 않고, 친근하지만 가볍지 않다</x:v>
      </x:c>
      <x:c r="C14" s="40" t="str">
        <x:v>아이의 흥미와 부모의 신뢰를 동시에 확보</x:v>
      </x:c>
      <x:c r="D14" s="40" t="str">
        <x:v>정확·친근</x:v>
      </x:c>
      <x:c r="E14" s="40" t="n">
        <x:v>5</x:v>
      </x:c>
      <x:c r="F14" s="40" t="str">
        <x:v>검토</x:v>
      </x:c>
      <x:c r="G14" s="44" t="str"/>
      <x:c r="H14" s="40" t="str">
        <x:v>과장보다 현실적이고 신뢰도 높은 톤 선호</x:v>
      </x:c>
    </x:row>
    <x:row r="15" ht="24" hidden="0" customHeight="1">
      <x:c r="A15" s="40" t="str">
        <x:v>배제할 태도</x:v>
      </x:c>
      <x:c r="B15" s="40" t="str">
        <x:v>과장, 어려운 용어, 억지 암기, 정답만 강요하는 방식을 피한다</x:v>
      </x:c>
      <x:c r="C15" s="40" t="str">
        <x:v>수학 불안과 암기 피로를 줄이는 브랜드 경계선</x:v>
      </x:c>
      <x:c r="D15" s="40" t="str">
        <x:v>비과장·비강요</x:v>
      </x:c>
      <x:c r="E15" s="40" t="n">
        <x:v>5</x:v>
      </x:c>
      <x:c r="F15" s="40" t="str">
        <x:v>검토</x:v>
      </x:c>
      <x:c r="G15" s="44" t="str"/>
      <x:c r="H15" s="40" t="str">
        <x:v>AI식 과장·추상어·복잡한 표현을 지속적으로 배제</x:v>
      </x:c>
    </x:row>
    <x:row r="16" ht="24" hidden="0" customHeight="1">
      <x:c r="A16" s="40" t="str">
        <x:v>교육 신념</x:v>
      </x:c>
      <x:c r="B16" s="40" t="str">
        <x:v>이해한 것은 연결되고, 연결된 것은 반복할수록 오래 기억된다</x:v>
      </x:c>
      <x:c r="C16" s="40" t="str">
        <x:v>공식의 뜻과 구조를 먼저 이해한 뒤 회상 반복</x:v>
      </x:c>
      <x:c r="D16" s="40" t="str">
        <x:v>이해·연결·반복</x:v>
      </x:c>
      <x:c r="E16" s="40" t="n">
        <x:v>5</x:v>
      </x:c>
      <x:c r="F16" s="40" t="str">
        <x:v>검토</x:v>
      </x:c>
      <x:c r="G16" s="44" t="str"/>
      <x:c r="H16" s="40" t="str">
        <x:v>재미와 공식·수식 암기를 동시에 달성하려는 목표</x:v>
      </x:c>
    </x:row>
    <x:row r="17" ht="24" hidden="0" customHeight="1">
      <x:c r="A17" s="40" t="str">
        <x:v>궁극적 목표</x:v>
      </x:c>
      <x:c r="B17" s="40" t="str">
        <x:v>아이에게 수학을 두려움이 아니라 성취감을 주는 경험으로 바꾼다</x:v>
      </x:c>
      <x:c r="C17" s="40" t="str">
        <x:v>작은 성공을 반복해 자신감 형성</x:v>
      </x:c>
      <x:c r="D17" s="40" t="str">
        <x:v>성취감·자신감</x:v>
      </x:c>
      <x:c r="E17" s="40" t="n">
        <x:v>5</x:v>
      </x:c>
      <x:c r="F17" s="40" t="str">
        <x:v>검토</x:v>
      </x:c>
      <x:c r="G17" s="44" t="str"/>
      <x:c r="H17" s="40" t="str">
        <x:v>제품의 장기적 존재 이유</x:v>
      </x:c>
    </x:row>
    <x:row r="18"/>
    <x:row r="19" ht="15" hidden="0" customHeight="1">
      <x:c r="A19" s="23" t="str">
        <x:v>B. 나를 한 문장으로 정의하는 후보</x:v>
      </x:c>
      <x:c r="B19" s="23"/>
      <x:c r="C19" s="23"/>
      <x:c r="D19" s="23"/>
      <x:c r="E19" s="23"/>
      <x:c r="F19" s="23"/>
      <x:c r="G19" s="23"/>
      <x:c r="H19" s="23"/>
    </x:row>
    <x:row r="20"/>
    <x:row r="21" ht="24" hidden="0" customHeight="1">
      <x:c r="A21" s="32" t="str">
        <x:v>번호</x:v>
      </x:c>
      <x:c r="B21" s="32" t="str">
        <x:v>한 문장 정의</x:v>
      </x:c>
      <x:c r="C21" s="32" t="str">
        <x:v>장점</x:v>
      </x:c>
      <x:c r="D21" s="32" t="str">
        <x:v>보완점</x:v>
      </x:c>
      <x:c r="E21" s="32" t="str">
        <x:v>적합도
1~5</x:v>
      </x:c>
      <x:c r="F21" s="32" t="str">
        <x:v>선택</x:v>
      </x:c>
      <x:c r="G21" s="32" t="str">
        <x:v>수정안</x:v>
      </x:c>
      <x:c r="H21" s="32" t="str">
        <x:v>비고</x:v>
      </x:c>
    </x:row>
    <x:row r="22" ht="36" hidden="0" customHeight="1">
      <x:c r="A22" s="40" t="n">
        <x:v>1</x:v>
      </x:c>
      <x:c r="B22" s="40" t="str">
        <x:v>복잡한 수학을 아이의 언어로 바꾸고, 이해한 공식을 오래 기억하게 만드는 실전형 학습 프로듀서.</x:v>
      </x:c>
      <x:c r="C22" s="40" t="str">
        <x:v>프로젝트 목적과 실행 성향을 모두 담음</x:v>
      </x:c>
      <x:c r="D22" s="40" t="str">
        <x:v>문장이 다소 김</x:v>
      </x:c>
      <x:c r="E22" s="40" t="n">
        <x:v>5</x:v>
      </x:c>
      <x:c r="F22" s="40" t="str">
        <x:v>1순위</x:v>
      </x:c>
      <x:c r="G22" s="44" t="str"/>
      <x:c r="H22" s="40" t="str">
        <x:v>추천 초안</x:v>
      </x:c>
    </x:row>
    <x:row r="23" ht="36" hidden="0" customHeight="1">
      <x:c r="A23" s="40" t="n">
        <x:v>2</x:v>
      </x:c>
      <x:c r="B23" s="40" t="str">
        <x:v>아이에게 맞는 방식으로 수학을 쉽게 풀어내고, 공식과 수식을 놀이처럼 체득시키는 문제해결형 기획자.</x:v>
      </x:c>
      <x:c r="C23" s="40" t="str">
        <x:v>사람 중심 철학이 선명함</x:v>
      </x:c>
      <x:c r="D23" s="40" t="str">
        <x:v>‘놀이처럼’의 구현 방식이 필요</x:v>
      </x:c>
      <x:c r="E23" s="40" t="n">
        <x:v>5</x:v>
      </x:c>
      <x:c r="F23" s="40" t="str">
        <x:v>검토</x:v>
      </x:c>
      <x:c r="G23" s="44" t="str"/>
      <x:c r="H23" s="40" t="str"/>
    </x:row>
    <x:row r="24" ht="24" hidden="0" customHeight="1">
      <x:c r="A24" s="40" t="n">
        <x:v>3</x:v>
      </x:c>
      <x:c r="B24" s="40" t="str">
        <x:v>어려운 것을 쉽게, 배운 것을 오래 기억하게 만드는 수학 학습 경험 설계자.</x:v>
      </x:c>
      <x:c r="C24" s="40" t="str">
        <x:v>짧고 확장성이 높음</x:v>
      </x:c>
      <x:c r="D24" s="40" t="str">
        <x:v>창업자의 실전성이 약함</x:v>
      </x:c>
      <x:c r="E24" s="40" t="n">
        <x:v>4</x:v>
      </x:c>
      <x:c r="F24" s="40" t="str">
        <x:v>검토</x:v>
      </x:c>
      <x:c r="G24" s="44" t="str"/>
      <x:c r="H24" s="40" t="str"/>
    </x:row>
    <x:row r="25" ht="24" hidden="0" customHeight="1">
      <x:c r="A25" s="40" t="n">
        <x:v>4</x:v>
      </x:c>
      <x:c r="B25" s="40" t="str">
        <x:v>아이의 막힘을 발견하고, 이해와 반복으로 수학의 자신감을 만드는 실전형 아빠 기획자.</x:v>
      </x:c>
      <x:c r="C25" s="40" t="str">
        <x:v>부모 공감이 강함</x:v>
      </x:c>
      <x:c r="D25" s="40" t="str">
        <x:v>개인 브랜드에는 좋지만 확장성 검토 필요</x:v>
      </x:c>
      <x:c r="E25" s="40" t="n">
        <x:v>4</x:v>
      </x:c>
      <x:c r="F25" s="40" t="str">
        <x:v>검토</x:v>
      </x:c>
      <x:c r="G25" s="44" t="str"/>
      <x:c r="H25" s="40" t="str"/>
    </x:row>
    <x:row r="26" ht="24" hidden="0" customHeight="1">
      <x:c r="A26" s="40" t="n">
        <x:v>5</x:v>
      </x:c>
      <x:c r="B26" s="40" t="str">
        <x:v>공식과 수식을 외우게 하는 사람이 아니라, 아이 스스로 떠올리게 만드는 학습 프로듀서.</x:v>
      </x:c>
      <x:c r="C26" s="40" t="str">
        <x:v>차별점이 명확함</x:v>
      </x:c>
      <x:c r="D26" s="40" t="str">
        <x:v>브랜드 전체 정의로는 다소 좁음</x:v>
      </x:c>
      <x:c r="E26" s="40" t="n">
        <x:v>5</x:v>
      </x:c>
      <x:c r="F26" s="40" t="str">
        <x:v>검토</x:v>
      </x:c>
      <x:c r="G26" s="44" t="str"/>
      <x:c r="H26" s="40" t="str"/>
    </x:row>
    <x:row r="27"/>
    <x:row r="28" ht="15" hidden="0" customHeight="1">
      <x:c r="A28" s="23" t="str">
        <x:v>C. 핵심 정체성 최종 입력</x:v>
      </x:c>
      <x:c r="B28" s="23"/>
      <x:c r="C28" s="23"/>
      <x:c r="D28" s="23"/>
      <x:c r="E28" s="23"/>
      <x:c r="F28" s="23"/>
      <x:c r="G28" s="23"/>
      <x:c r="H28" s="23"/>
    </x:row>
    <x:row r="29"/>
    <x:row r="30" ht="15" hidden="0" customHeight="1">
      <x:c r="A30" s="32" t="str">
        <x:v>항목</x:v>
      </x:c>
      <x:c r="B30" s="32" t="str">
        <x:v>최종 입력</x:v>
      </x:c>
      <x:c r="C30" s="32" t="str">
        <x:v>작성 기준</x:v>
      </x:c>
    </x:row>
    <x:row r="31" ht="24" hidden="0" customHeight="1">
      <x:c r="A31" s="40" t="str">
        <x:v>나는 누구인가</x:v>
      </x:c>
      <x:c r="B31" s="44" t="str"/>
      <x:c r="C31" s="40" t="str">
        <x:v>위 후보를 참고하되 ‘역할 + 강점 + 만드는 변화’를 한 문장으로 작성</x:v>
      </x:c>
    </x:row>
    <x:row r="32" ht="24" hidden="0" customHeight="1">
      <x:c r="A32" s="40" t="str">
        <x:v>내가 해결하려는 문제</x:v>
      </x:c>
      <x:c r="B32" s="44" t="str">
        <x:v>아이들이 공식의 의미를 이해하지 못한 채 외우고, 문제 유형이 바뀌면 꺼내 쓰지 못하는 문제</x:v>
      </x:c>
      <x:c r="C32" s="40" t="str">
        <x:v>관찰 가능한 문제로 작성</x:v>
      </x:c>
    </x:row>
    <x:row r="33" ht="36" hidden="0" customHeight="1">
      <x:c r="A33" s="40" t="str">
        <x:v>내가 믿는 해결 원리</x:v>
      </x:c>
      <x:c r="B33" s="44" t="str">
        <x:v>아이의 언어로 이해시키고, 다양한 방식으로 연결하고, 짧은 회상 반복을 통해 스스로 떠올리게 한다</x:v>
      </x:c>
      <x:c r="C33" s="40" t="str">
        <x:v>이해 → 연결 → 반복 → 회상 → 적용</x:v>
      </x:c>
    </x:row>
    <x:row r="34" ht="24" hidden="0" customHeight="1">
      <x:c r="A34" s="40" t="str">
        <x:v>절대 포기하지 않을 기준</x:v>
      </x:c>
      <x:c r="B34" s="44" t="str">
        <x:v>정확성, 아이 눈높이, 재미, 부모가 확인할 수 있는 학습 결과</x:v>
      </x:c>
      <x:c r="C34" s="40" t="str">
        <x:v>브랜드 의사결정의 기준</x:v>
      </x:c>
    </x:row>
    <x:row r="35" ht="24" hidden="0" customHeight="1">
      <x:c r="A35" s="40" t="str">
        <x:v>하지 않을 것</x:v>
      </x:c>
      <x:c r="B35" s="44" t="str">
        <x:v>억지 암기, 불안 자극, 과장된 성적 보장, 지나치게 어려운 설명</x:v>
      </x:c>
      <x:c r="C35" s="40" t="str">
        <x:v>브랜드 경계선</x:v>
      </x:c>
    </x:row>
    <x:row r="36"/>
    <x:row r="37" ht="115.19999694824219" hidden="0" customHeight="1">
      <x:c r="A37" s="50" t="str">
        <x:v>추천 출발점: “복잡한 수학을 아이의 언어로 바꾸고, 이해한 공식을 오래 기억하게 만드는 실전형 학습 프로듀서.”</x:v>
      </x:c>
      <x:c r="B37" s="50"/>
      <x:c r="C37" s="50"/>
      <x:c r="D37" s="50"/>
      <x:c r="E37" s="50"/>
      <x:c r="F37" s="50"/>
      <x:c r="G37" s="50"/>
      <x:c r="H37" s="50"/>
    </x:row>
    <x:row r="38" ht="15" hidden="0" customHeight="1">
      <x:c r="A38" s="50"/>
      <x:c r="B38" s="50"/>
      <x:c r="C38" s="50"/>
      <x:c r="D38" s="50"/>
      <x:c r="E38" s="50"/>
      <x:c r="F38" s="50"/>
      <x:c r="G38" s="50"/>
      <x:c r="H38" s="50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2"/>
    <x:mergeCell ref="A3:H3"/>
    <x:mergeCell ref="A5:H5"/>
    <x:mergeCell ref="A19:H19"/>
    <x:mergeCell ref="A28:H28"/>
    <x:mergeCell ref="A37:H38"/>
  </x:mergeCells>
  <x:conditionalFormatting sqref="E8:E17">
    <x:cfRule type="dataBar" priority="1">
      <x:dataBar>
        <x:cfvo type="min"/>
        <x:cfvo type="max"/>
        <x:color rgb="FF2F6690"/>
      </x:dataBar>
      <x:extLst>
        <x:ext xmlns:x14="http://schemas.microsoft.com/office/spreadsheetml/2009/9/main" uri="{B025F937-C7B1-47D3-B67F-A62EFF666E3E}">
          <x14:id>{0EAFC432-EB8E-4B2F-919C-B0375EA83498}</x14:id>
        </x:ext>
      </x:extLst>
    </x:cfRule>
  </x:conditionalFormatting>
  <x:conditionalFormatting sqref="F8:F17">
    <x:cfRule type="expression" dxfId="3" priority="2">
      <x:formula>F8="동의"</x:formula>
    </x:cfRule>
    <x:cfRule type="expression" dxfId="4" priority="3">
      <x:formula>F8="수정"</x:formula>
    </x:cfRule>
    <x:cfRule type="expression" dxfId="5" priority="4">
      <x:formula>F8="삭제"</x:formula>
    </x:cfRule>
  </x:conditionalFormatting>
  <x:dataValidations count="2">
    <x:dataValidation type="list" sqref="F8:F17">
      <x:formula1>"동의,검토,수정,삭제,보류"</x:formula1>
    </x:dataValidation>
    <x:dataValidation type="list" sqref="F22:F26">
      <x:formula1>"1순위,2순위,검토,보류,제외"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AFC432-EB8E-4B2F-919C-B0375EA83498}">
            <x14:dataBar gradient="1">
              <x14:cfvo type="min"/>
              <x14:cfvo type="max"/>
              <x14:fillColor rgb="FF2F6690"/>
            </x14:dataBar>
          </x14:cfRule>
          <xm:sqref>E8:E17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16" hidden="0" customWidth="1"/>
    <x:col min="4" max="4" width="16" hidden="0" customWidth="1"/>
    <x:col min="5" max="5" width="14" hidden="0" customWidth="1"/>
    <x:col min="6" max="6" width="32" hidden="0" customWidth="1"/>
    <x:col min="7" max="7" width="30" hidden="0" customWidth="1"/>
    <x:col min="8" max="8" width="14" hidden="0" customWidth="1"/>
  </x:cols>
  <x:sheetData>
    <x:row r="1" ht="21.600000381469727" hidden="0" customHeight="1">
      <x:c r="A1" s="5" t="str">
        <x:v>수학 학습 프로덕션 정체성</x:v>
      </x:c>
      <x:c r="B1" s="5"/>
      <x:c r="C1" s="5"/>
      <x:c r="D1" s="5"/>
      <x:c r="E1" s="5"/>
      <x:c r="F1" s="5"/>
      <x:c r="G1" s="5"/>
      <x:c r="H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  <x:c r="H2" s="5"/>
    </x:row>
    <x:row r="3" ht="66" hidden="0" customHeight="1">
      <x:c r="A3" s="14" t="str">
        <x:v>창업자 정체성을 제품의 WHY·HOW·WHAT으로 변환합니다. 확정되지 않은 내용은 ‘가설’로 표시했습니다.</x:v>
      </x:c>
      <x:c r="B3" s="14"/>
      <x:c r="C3" s="14"/>
      <x:c r="D3" s="14"/>
      <x:c r="E3" s="14"/>
      <x:c r="F3" s="14"/>
      <x:c r="G3" s="14"/>
      <x:c r="H3" s="14"/>
    </x:row>
    <x:row r="4"/>
    <x:row r="5" ht="15" hidden="0" customHeight="1">
      <x:c r="A5" s="23" t="str">
        <x:v>A. WHY · HOW · WHAT</x:v>
      </x:c>
      <x:c r="B5" s="23"/>
      <x:c r="C5" s="23"/>
      <x:c r="D5" s="23"/>
      <x:c r="E5" s="23"/>
      <x:c r="F5" s="23"/>
      <x:c r="G5" s="23"/>
      <x:c r="H5" s="23"/>
    </x:row>
    <x:row r="6"/>
    <x:row r="7" ht="24" hidden="0" customHeight="1">
      <x:c r="A7" s="32" t="str">
        <x:v>구분</x:v>
      </x:c>
      <x:c r="B7" s="32" t="str">
        <x:v>핵심 정의</x:v>
      </x:c>
      <x:c r="C7" s="32" t="str">
        <x:v>랜딩페이지에서의 역할</x:v>
      </x:c>
      <x:c r="D7" s="32" t="str">
        <x:v>상태</x:v>
      </x:c>
      <x:c r="E7" s="32" t="str">
        <x:v>내 수정안</x:v>
      </x:c>
      <x:c r="F7" s="32" t="str">
        <x:v>검증 질문</x:v>
      </x:c>
      <x:c r="G7" s="32" t="str">
        <x:v>관찰 지표</x:v>
      </x:c>
      <x:c r="H7" s="32" t="str">
        <x:v>메모</x:v>
      </x:c>
    </x:row>
    <x:row r="8" ht="24" hidden="0" customHeight="1">
      <x:c r="A8" s="40" t="str">
        <x:v>WHY</x:v>
      </x:c>
      <x:c r="B8" s="40" t="str">
        <x:v>수학 공식과 수식 때문에 자신감을 잃는 아이가 ‘나도 할 수 있다’는 경험을 갖게 한다.</x:v>
      </x:c>
      <x:c r="C8" s="40" t="str">
        <x:v>브랜드 존재 이유</x:v>
      </x:c>
      <x:c r="D8" s="40" t="str">
        <x:v>가설</x:v>
      </x:c>
      <x:c r="E8" s="44" t="str"/>
      <x:c r="F8" s="40" t="str">
        <x:v>아이와 부모가 이 문제를 실제로 크게 느끼는가?</x:v>
      </x:c>
      <x:c r="G8" s="40" t="str">
        <x:v>첫 설명 전·후 자신감 변화</x:v>
      </x:c>
      <x:c r="H8" s="40" t="str"/>
    </x:row>
    <x:row r="9" ht="24" hidden="0" customHeight="1">
      <x:c r="A9" s="40" t="str">
        <x:v>HOW</x:v>
      </x:c>
      <x:c r="B9" s="40" t="str">
        <x:v>어려운 개념을 아이의 언어·그림·패턴·리듬·짧은 반복으로 바꾸고, 스스로 회상하게 한다.</x:v>
      </x:c>
      <x:c r="C9" s="40" t="str">
        <x:v>차별적 학습 방식</x:v>
      </x:c>
      <x:c r="D9" s="40" t="str">
        <x:v>가설</x:v>
      </x:c>
      <x:c r="E9" s="44" t="str"/>
      <x:c r="F9" s="40" t="str">
        <x:v>다른 학습법보다 더 쉽게 기억되는가?</x:v>
      </x:c>
      <x:c r="G9" s="40" t="str">
        <x:v>24시간·7일 후 회상률</x:v>
      </x:c>
      <x:c r="H9" s="40" t="str"/>
    </x:row>
    <x:row r="10" ht="24" hidden="0" customHeight="1">
      <x:c r="A10" s="40" t="str">
        <x:v>WHAT</x:v>
      </x:c>
      <x:c r="B10" s="40" t="str">
        <x:v>공식·수식 이해, 기억, 적용을 하나의 흐름으로 만든 초등 수학 학습 콘텐츠와 연습 경험</x:v>
      </x:c>
      <x:c r="C10" s="40" t="str">
        <x:v>상품 설명</x:v>
      </x:c>
      <x:c r="D10" s="40" t="str">
        <x:v>가설</x:v>
      </x:c>
      <x:c r="E10" s="44" t="str"/>
      <x:c r="F10" s="40" t="str">
        <x:v>사용자가 무엇을 받는지 10초 안에 이해하는가?</x:v>
      </x:c>
      <x:c r="G10" s="40" t="str">
        <x:v>체험 시작률·완료율</x:v>
      </x:c>
      <x:c r="H10" s="40" t="str"/>
    </x:row>
    <x:row r="11"/>
    <x:row r="12" ht="15" hidden="0" customHeight="1">
      <x:c r="A12" s="23" t="str">
        <x:v>B. 핵심 고객과 해결 과제</x:v>
      </x:c>
      <x:c r="B12" s="23"/>
      <x:c r="C12" s="23"/>
      <x:c r="D12" s="23"/>
      <x:c r="E12" s="23"/>
      <x:c r="F12" s="23"/>
      <x:c r="G12" s="23"/>
      <x:c r="H12" s="23"/>
    </x:row>
    <x:row r="13"/>
    <x:row r="14" ht="15" hidden="0" customHeight="1">
      <x:c r="A14" s="32" t="str">
        <x:v>고객</x:v>
      </x:c>
      <x:c r="B14" s="32" t="str">
        <x:v>현재 상황</x:v>
      </x:c>
      <x:c r="C14" s="32" t="str">
        <x:v>해야 하는 일(JTBD)</x:v>
      </x:c>
      <x:c r="D14" s="32" t="str">
        <x:v>불편·두려움</x:v>
      </x:c>
      <x:c r="E14" s="32" t="str">
        <x:v>원하는 결과</x:v>
      </x:c>
      <x:c r="F14" s="32" t="str">
        <x:v>우리의 약속</x:v>
      </x:c>
      <x:c r="G14" s="32" t="str">
        <x:v>검증 필요</x:v>
      </x:c>
      <x:c r="H14" s="32" t="str">
        <x:v>상태</x:v>
      </x:c>
    </x:row>
    <x:row r="15" ht="36" hidden="0" customHeight="1">
      <x:c r="A15" s="40" t="str">
        <x:v>학습자: 초등학생 중심</x:v>
      </x:c>
      <x:c r="B15" s="40" t="str">
        <x:v>공식은 외웠지만 뜻을 모르거나 문제에서 떠올리지 못함</x:v>
      </x:c>
      <x:c r="C15" s="40" t="str">
        <x:v>공식을 이해하고 필요할 때 꺼내 쓰기</x:v>
      </x:c>
      <x:c r="D15" s="40" t="str">
        <x:v>수학이 어렵고 재미없다는 느낌</x:v>
      </x:c>
      <x:c r="E15" s="40" t="str">
        <x:v>짧게 배워도 오래 기억하고 스스로 풀기</x:v>
      </x:c>
      <x:c r="F15" s="40" t="str">
        <x:v>공식은 쉽게 이해하고, 오래 기억하고, 문제에서 바로 꺼내 쓰게 한다</x:v>
      </x:c>
      <x:c r="G15" s="40" t="str">
        <x:v>핵심 학년 범위</x:v>
      </x:c>
      <x:c r="H15" s="40" t="str">
        <x:v>가설</x:v>
      </x:c>
    </x:row>
    <x:row r="16" ht="36" hidden="0" customHeight="1">
      <x:c r="A16" s="40" t="str">
        <x:v>구매자: 부모</x:v>
      </x:c>
      <x:c r="B16" s="40" t="str">
        <x:v>아이에게 설명하기 어렵고 학습 효과를 확인하기 어려움</x:v>
      </x:c>
      <x:c r="C16" s="40" t="str">
        <x:v>부담 없이 시작하고 실제 변화를 확인하기</x:v>
      </x:c>
      <x:c r="D16" s="40" t="str">
        <x:v>또 하나의 지루한 학습 서비스가 될까 걱정</x:v>
      </x:c>
      <x:c r="E16" s="40" t="str">
        <x:v>아이가 거부감 없이 반복하고 성취를 보여줌</x:v>
      </x:c>
      <x:c r="F16" s="40" t="str">
        <x:v>아이의 학습 과정을 부모가 이해할 수 있게 보여준다</x:v>
      </x:c>
      <x:c r="G16" s="40" t="str">
        <x:v>결제 의향·가격</x:v>
      </x:c>
      <x:c r="H16" s="40" t="str">
        <x:v>가설</x:v>
      </x:c>
    </x:row>
    <x:row r="17"/>
    <x:row r="18" ht="15" hidden="0" customHeight="1">
      <x:c r="A18" s="23" t="str">
        <x:v>C. 브랜드 핵심 구조</x:v>
      </x:c>
      <x:c r="B18" s="23"/>
      <x:c r="C18" s="23"/>
      <x:c r="D18" s="23"/>
      <x:c r="E18" s="23"/>
      <x:c r="F18" s="23"/>
      <x:c r="G18" s="23"/>
      <x:c r="H18" s="23"/>
    </x:row>
    <x:row r="19"/>
    <x:row r="20" ht="15" hidden="0" customHeight="1">
      <x:c r="A20" s="32" t="str">
        <x:v>항목</x:v>
      </x:c>
      <x:c r="B20" s="32" t="str">
        <x:v>초안</x:v>
      </x:c>
      <x:c r="C20" s="32" t="str">
        <x:v>선택/수정</x:v>
      </x:c>
      <x:c r="D20" s="32" t="str">
        <x:v>랜딩 적용 위치</x:v>
      </x:c>
      <x:c r="E20" s="32" t="str">
        <x:v>주의사항</x:v>
      </x:c>
      <x:c r="F20" s="32" t="str">
        <x:v>확정 여부</x:v>
      </x:c>
      <x:c r="G20" s="32" t="str">
        <x:v>검증 방법</x:v>
      </x:c>
      <x:c r="H20" s="32" t="str">
        <x:v>메모</x:v>
      </x:c>
    </x:row>
    <x:row r="21" ht="24" hidden="0" customHeight="1">
      <x:c r="A21" s="40" t="str">
        <x:v>브랜드 에센스</x:v>
      </x:c>
      <x:c r="B21" s="40" t="str">
        <x:v>어려운 수학을 아이에게 맞게 바꾸는 힘</x:v>
      </x:c>
      <x:c r="C21" s="44" t="str"/>
      <x:c r="D21" s="40" t="str">
        <x:v>브랜드 소개·About</x:v>
      </x:c>
      <x:c r="E21" s="40" t="str">
        <x:v>추상어보다 실제 변화로 표현</x:v>
      </x:c>
      <x:c r="F21" s="40" t="str">
        <x:v>검토</x:v>
      </x:c>
      <x:c r="G21" s="40" t="str">
        <x:v>10초 설명 테스트</x:v>
      </x:c>
      <x:c r="H21" s="40" t="str"/>
    </x:row>
    <x:row r="22" ht="24" hidden="0" customHeight="1">
      <x:c r="A22" s="40" t="str">
        <x:v>핵심 약속</x:v>
      </x:c>
      <x:c r="B22" s="40" t="str">
        <x:v>이해하고, 기억하고, 스스로 꺼내 쓰게 한다</x:v>
      </x:c>
      <x:c r="C22" s="44" t="str"/>
      <x:c r="D22" s="40" t="str">
        <x:v>히어로·상품 설명</x:v>
      </x:c>
      <x:c r="E22" s="40" t="str">
        <x:v>성적 보장 표현 금지</x:v>
      </x:c>
      <x:c r="F22" s="40" t="str">
        <x:v>검토</x:v>
      </x:c>
      <x:c r="G22" s="40" t="str">
        <x:v>부모 인터뷰</x:v>
      </x:c>
      <x:c r="H22" s="40" t="str"/>
    </x:row>
    <x:row r="23" ht="36" hidden="0" customHeight="1">
      <x:c r="A23" s="40" t="str">
        <x:v>학습 원리</x:v>
      </x:c>
      <x:c r="B23" s="40" t="str">
        <x:v>이해 → 연결 → 반복 → 회상 → 적용</x:v>
      </x:c>
      <x:c r="C23" s="44" t="str"/>
      <x:c r="D23" s="40" t="str">
        <x:v>방법론 섹션</x:v>
      </x:c>
      <x:c r="E23" s="40" t="str">
        <x:v>단계 수가 너무 많아 보이지 않게 시각화</x:v>
      </x:c>
      <x:c r="F23" s="40" t="str">
        <x:v>검토</x:v>
      </x:c>
      <x:c r="G23" s="40" t="str">
        <x:v>아이 사용 테스트</x:v>
      </x:c>
      <x:c r="H23" s="40" t="str"/>
    </x:row>
    <x:row r="24" ht="36" hidden="0" customHeight="1">
      <x:c r="A24" s="40" t="str">
        <x:v>브랜드 성격</x:v>
      </x:c>
      <x:c r="B24" s="40" t="str">
        <x:v>정확함 · 친근함 · 실용성 · 재미</x:v>
      </x:c>
      <x:c r="C24" s="44" t="str"/>
      <x:c r="D24" s="40" t="str">
        <x:v>문체·색상·캐릭터</x:v>
      </x:c>
      <x:c r="E24" s="40" t="str">
        <x:v>유아적이거나 지나치게 학원식인 톤 배제</x:v>
      </x:c>
      <x:c r="F24" s="40" t="str">
        <x:v>검토</x:v>
      </x:c>
      <x:c r="G24" s="40" t="str">
        <x:v>형용사 카드 테스트</x:v>
      </x:c>
      <x:c r="H24" s="40" t="str"/>
    </x:row>
    <x:row r="25" ht="36" hidden="0" customHeight="1">
      <x:c r="A25" s="40" t="str">
        <x:v>감정적 변화</x:v>
      </x:c>
      <x:c r="B25" s="40" t="str">
        <x:v>막막함 → 호기심 → 이해 → 성취감 → 자신감</x:v>
      </x:c>
      <x:c r="C25" s="44" t="str"/>
      <x:c r="D25" s="40" t="str">
        <x:v>랜딩 스토리 구조</x:v>
      </x:c>
      <x:c r="E25" s="40" t="str">
        <x:v>공포·불안을 과도하게 자극하지 않음</x:v>
      </x:c>
      <x:c r="F25" s="40" t="str">
        <x:v>검토</x:v>
      </x:c>
      <x:c r="G25" s="40" t="str">
        <x:v>전후 감정 질문</x:v>
      </x:c>
      <x:c r="H25" s="40" t="str"/>
    </x:row>
    <x:row r="26"/>
    <x:row r="27" ht="15" hidden="0" customHeight="1">
      <x:c r="A27" s="23" t="str">
        <x:v>D. 제품이 반드시 만족해야 할 기준</x:v>
      </x:c>
      <x:c r="B27" s="23"/>
      <x:c r="C27" s="23"/>
      <x:c r="D27" s="23"/>
      <x:c r="E27" s="23"/>
      <x:c r="F27" s="23"/>
      <x:c r="G27" s="23"/>
      <x:c r="H27" s="23"/>
    </x:row>
    <x:row r="28"/>
    <x:row r="29" ht="24" hidden="0" customHeight="1">
      <x:c r="A29" s="32" t="str">
        <x:v>평가 기준</x:v>
      </x:c>
      <x:c r="B29" s="32" t="str">
        <x:v>정의</x:v>
      </x:c>
      <x:c r="C29" s="32" t="str">
        <x:v>가중치</x:v>
      </x:c>
      <x:c r="D29" s="32" t="str">
        <x:v>현재 점수
1~5</x:v>
      </x:c>
      <x:c r="E29" s="32" t="str">
        <x:v>환산점수</x:v>
      </x:c>
      <x:c r="F29" s="32" t="str">
        <x:v>검증 질문</x:v>
      </x:c>
      <x:c r="G29" s="32" t="str">
        <x:v>개선 아이디어</x:v>
      </x:c>
      <x:c r="H29" s="32" t="str">
        <x:v>상태</x:v>
      </x:c>
    </x:row>
    <x:row r="30" ht="15" hidden="0" customHeight="1">
      <x:c r="A30" s="40" t="str">
        <x:v>정확성</x:v>
      </x:c>
      <x:c r="B30" s="40" t="str">
        <x:v>공식·수식의 의미와 적용이 수학적으로 정확함</x:v>
      </x:c>
      <x:c r="C30" s="56" t="n">
        <x:v>0.25</x:v>
      </x:c>
      <x:c r="D30" s="44" t="n">
        <x:v>4</x:v>
      </x:c>
      <x:c r="E30" s="58" t="n">
        <x:f>C30*D30*20</x:f>
        <x:v>20</x:v>
      </x:c>
      <x:c r="F30" s="40" t="str">
        <x:v>전문가 검토를 통과하는가?</x:v>
      </x:c>
      <x:c r="G30" s="40" t="str"/>
      <x:c r="H30" s="40" t="str">
        <x:v>가설</x:v>
      </x:c>
    </x:row>
    <x:row r="31" ht="24" hidden="0" customHeight="1">
      <x:c r="A31" s="40" t="str">
        <x:v>이해 용이성</x:v>
      </x:c>
      <x:c r="B31" s="40" t="str">
        <x:v>아이가 설명을 한 번 듣고 자기 말로 다시 말할 수 있음</x:v>
      </x:c>
      <x:c r="C31" s="56" t="n">
        <x:v>0.2</x:v>
      </x:c>
      <x:c r="D31" s="44" t="n">
        <x:v>3</x:v>
      </x:c>
      <x:c r="E31" s="58" t="n">
        <x:f>C31*D31*20</x:f>
        <x:v>12.000000000000002</x:v>
      </x:c>
      <x:c r="F31" s="40" t="str">
        <x:v>자기 말 설명이 가능한가?</x:v>
      </x:c>
      <x:c r="G31" s="40" t="str"/>
      <x:c r="H31" s="40" t="str">
        <x:v>가설</x:v>
      </x:c>
    </x:row>
    <x:row r="32" ht="15" hidden="0" customHeight="1">
      <x:c r="A32" s="40" t="str">
        <x:v>기억 지속성</x:v>
      </x:c>
      <x:c r="B32" s="40" t="str">
        <x:v>다음 날과 다음 주에도 핵심 공식을 회상함</x:v>
      </x:c>
      <x:c r="C32" s="56" t="n">
        <x:v>0.2</x:v>
      </x:c>
      <x:c r="D32" s="44" t="n">
        <x:v>3</x:v>
      </x:c>
      <x:c r="E32" s="58" t="n">
        <x:f>C32*D32*20</x:f>
        <x:v>12.000000000000002</x:v>
      </x:c>
      <x:c r="F32" s="40" t="str">
        <x:v>24시간·7일 후 기억하는가?</x:v>
      </x:c>
      <x:c r="G32" s="40" t="str"/>
      <x:c r="H32" s="40" t="str">
        <x:v>가설</x:v>
      </x:c>
    </x:row>
    <x:row r="33" ht="15" hidden="0" customHeight="1">
      <x:c r="A33" s="40" t="str">
        <x:v>재미·몰입</x:v>
      </x:c>
      <x:c r="B33" s="40" t="str">
        <x:v>반복을 강요하지 않아도 다시 하고 싶어 함</x:v>
      </x:c>
      <x:c r="C33" s="56" t="n">
        <x:v>0.15</x:v>
      </x:c>
      <x:c r="D33" s="44" t="n">
        <x:v>3</x:v>
      </x:c>
      <x:c r="E33" s="58" t="n">
        <x:f>C33*D33*20</x:f>
        <x:v>9</x:v>
      </x:c>
      <x:c r="F33" s="40" t="str">
        <x:v>자발적으로 재시도하는가?</x:v>
      </x:c>
      <x:c r="G33" s="40" t="str"/>
      <x:c r="H33" s="40" t="str">
        <x:v>가설</x:v>
      </x:c>
    </x:row>
    <x:row r="34" ht="15" hidden="0" customHeight="1">
      <x:c r="A34" s="40" t="str">
        <x:v>적용력</x:v>
      </x:c>
      <x:c r="B34" s="40" t="str">
        <x:v>문제 유형이 달라도 적절한 공식을 선택함</x:v>
      </x:c>
      <x:c r="C34" s="56" t="n">
        <x:v>0.15</x:v>
      </x:c>
      <x:c r="D34" s="44" t="n">
        <x:v>3</x:v>
      </x:c>
      <x:c r="E34" s="58" t="n">
        <x:f>C34*D34*20</x:f>
        <x:v>9</x:v>
      </x:c>
      <x:c r="F34" s="40" t="str">
        <x:v>새 문제에서 꺼내 쓰는가?</x:v>
      </x:c>
      <x:c r="G34" s="40" t="str"/>
      <x:c r="H34" s="40" t="str">
        <x:v>가설</x:v>
      </x:c>
    </x:row>
    <x:row r="35" ht="15" hidden="0" customHeight="1">
      <x:c r="A35" s="40" t="str">
        <x:v>부모 신뢰</x:v>
      </x:c>
      <x:c r="B35" s="40" t="str">
        <x:v>부모가 학습 방식과 변화를 이해할 수 있음</x:v>
      </x:c>
      <x:c r="C35" s="56" t="n">
        <x:v>0.05</x:v>
      </x:c>
      <x:c r="D35" s="44" t="n">
        <x:v>3</x:v>
      </x:c>
      <x:c r="E35" s="58" t="n">
        <x:f>C35*D35*20</x:f>
        <x:v>3.0000000000000004</x:v>
      </x:c>
      <x:c r="F35" s="40" t="str">
        <x:v>부모가 효과를 설명할 수 있는가?</x:v>
      </x:c>
      <x:c r="G35" s="40" t="str"/>
      <x:c r="H35" s="40" t="str">
        <x:v>가설</x:v>
      </x:c>
    </x:row>
    <x:row r="36"/>
    <x:row r="37" ht="16.799999237060547" hidden="0" customHeight="1">
      <x:c r="A37" t="str">
        <x:v>가중 총점</x:v>
      </x:c>
      <x:c r="E37" s="64" t="n">
        <x:f>SUM(E30:E35)</x:f>
        <x:v>65</x:v>
      </x:c>
    </x:row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2"/>
    <x:mergeCell ref="A3:H3"/>
    <x:mergeCell ref="A5:H5"/>
    <x:mergeCell ref="A12:H12"/>
    <x:mergeCell ref="A18:H18"/>
    <x:mergeCell ref="A27:H27"/>
    <x:mergeCell ref="A37:D37"/>
  </x:mergeCells>
  <x:conditionalFormatting sqref="D30:D35">
    <x:cfRule type="colorScale" priority="1">
      <x:colorScale>
        <x:cfvo type="min"/>
        <x:cfvo type="percentile" val="50"/>
        <x:cfvo type="max"/>
        <x:color rgb="FFF4CCCC"/>
        <x:color rgb="FFFFF4CC"/>
        <x:color rgb="FFE2F0D9"/>
      </x:colorScale>
    </x:cfRule>
  </x:conditionalFormatting>
  <x:dataValidations count="4">
    <x:dataValidation type="list" sqref="D8:D10">
      <x:formula1>"가설,검토,확정,보류"</x:formula1>
    </x:dataValidation>
    <x:dataValidation type="list" sqref="H15:H16">
      <x:formula1>"가설,검토,확정,보류"</x:formula1>
    </x:dataValidation>
    <x:dataValidation type="list" sqref="F21:F25">
      <x:formula1>"검토,수정,확정,보류"</x:formula1>
    </x:dataValidation>
    <x:dataValidation type="list" sqref="H30:H35">
      <x:formula1>"가설,검토,확정,보류"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7" hidden="0" customWidth="1"/>
    <x:col min="3" max="3" width="18" hidden="0" customWidth="1"/>
    <x:col min="4" max="4" width="18" hidden="0" customWidth="1"/>
    <x:col min="5" max="5" width="3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1" hidden="0" customWidth="1"/>
    <x:col min="13" max="13" width="14" hidden="0" customWidth="1"/>
    <x:col min="14" max="14" width="15" hidden="0" customWidth="1"/>
  </x:cols>
  <x:sheetData>
    <x:row r="1" ht="21.600000381469727" hidden="0" customHeight="1">
      <x:c r="A1" s="5" t="str">
        <x:v>브랜드명 후보 평가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303.6000061035156" hidden="0" customHeight="1">
      <x:c r="A3" s="14" t="str">
        <x:v>점수는 1차 전문가 가설입니다. F~K 열을 1~5점으로 수정하면 총점과 판정이 자동 계산됩니다. 상표·도메인은 아직 검증하지 않았습니다.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4" ht="21.600000381469727" hidden="0" customHeight="1">
      <x:c r="A4" s="74" t="str">
        <x:v>평가 가중치 →</x:v>
      </x:c>
      <x:c r="B4" s="74"/>
      <x:c r="C4" s="74"/>
      <x:c r="D4" s="74"/>
      <x:c r="E4" s="74"/>
      <x:c r="F4" s="75" t="n">
        <x:v>0.2</x:v>
      </x:c>
      <x:c r="G4" s="75" t="n">
        <x:v>0.2</x:v>
      </x:c>
      <x:c r="H4" s="75" t="n">
        <x:v>0.15</x:v>
      </x:c>
      <x:c r="I4" s="75" t="n">
        <x:v>0.15</x:v>
      </x:c>
      <x:c r="J4" s="75" t="n">
        <x:v>0.15</x:v>
      </x:c>
      <x:c r="K4" s="75" t="n">
        <x:v>0.15</x:v>
      </x:c>
    </x:row>
    <x:row r="5" ht="24" hidden="0" customHeight="1">
      <x:c r="A5" s="32" t="str">
        <x:v>번호</x:v>
      </x:c>
      <x:c r="B5" s="32" t="str">
        <x:v>브랜드명</x:v>
      </x:c>
      <x:c r="C5" s="32" t="str">
        <x:v>영문/표기</x:v>
      </x:c>
      <x:c r="D5" s="32" t="str">
        <x:v>이름 구조</x:v>
      </x:c>
      <x:c r="E5" s="32" t="str">
        <x:v>핵심 의미</x:v>
      </x:c>
      <x:c r="F5" s="32" t="str">
        <x:v>직관성</x:v>
      </x:c>
      <x:c r="G5" s="32" t="str">
        <x:v>기억성</x:v>
      </x:c>
      <x:c r="H5" s="32" t="str">
        <x:v>아이친화</x:v>
      </x:c>
      <x:c r="I5" s="32" t="str">
        <x:v>부모신뢰</x:v>
      </x:c>
      <x:c r="J5" s="32" t="str">
        <x:v>차별성</x:v>
      </x:c>
      <x:c r="K5" s="32" t="str">
        <x:v>확장성</x:v>
      </x:c>
      <x:c r="L5" s="32" t="str">
        <x:v>총점
100</x:v>
      </x:c>
      <x:c r="M5" s="32" t="str">
        <x:v>1차 판정</x:v>
      </x:c>
      <x:c r="N5" s="32" t="str">
        <x:v>상표·도메인</x:v>
      </x:c>
    </x:row>
    <x:row r="6" ht="15" hidden="0" customHeight="1">
      <x:c r="A6" s="120" t="n">
        <x:v>1</x:v>
      </x:c>
      <x:c r="B6" s="121" t="str">
        <x:v>수학착착</x:v>
      </x:c>
      <x:c r="C6" s="120" t="str">
        <x:v>MATH CHAKCHAK</x:v>
      </x:c>
      <x:c r="D6" s="120" t="str">
        <x:v>수학 + 의성어</x:v>
      </x:c>
      <x:c r="E6" s="120" t="str">
        <x:v>이해와 기억이 단계적으로 잘 붙는 느낌</x:v>
      </x:c>
      <x:c r="F6" s="120" t="n">
        <x:v>5</x:v>
      </x:c>
      <x:c r="G6" s="120" t="n">
        <x:v>5</x:v>
      </x:c>
      <x:c r="H6" s="120" t="n">
        <x:v>5</x:v>
      </x:c>
      <x:c r="I6" s="120" t="n">
        <x:v>4</x:v>
      </x:c>
      <x:c r="J6" s="120" t="n">
        <x:v>3</x:v>
      </x:c>
      <x:c r="K6" s="120" t="n">
        <x:v>4</x:v>
      </x:c>
      <x:c r="L6" s="128" t="n">
        <x:f>SUMPRODUCT(F6:K6,$F$4:$K$4)*20</x:f>
        <x:v>87.99999999999999</x:v>
      </x:c>
      <x:c r="M6" s="120" t="str">
        <x:v>최종 추천</x:v>
      </x:c>
      <x:c r="N6" s="120" t="str">
        <x:v>검증 전</x:v>
      </x:c>
    </x:row>
    <x:row r="7" ht="15" hidden="0" customHeight="1">
      <x:c r="A7" s="40" t="n">
        <x:v>2</x:v>
      </x:c>
      <x:c r="B7" s="40" t="str">
        <x:v>공식놀이터</x:v>
      </x:c>
      <x:c r="C7" s="40" t="str">
        <x:v>FORMULA PLAYGROUND</x:v>
      </x:c>
      <x:c r="D7" s="40" t="str">
        <x:v>공식 + 놀이</x:v>
      </x:c>
      <x:c r="E7" s="40" t="str">
        <x:v>공식이 부담이 아니라 놀이가 되는 공간</x:v>
      </x:c>
      <x:c r="F7" s="44" t="n">
        <x:v>5</x:v>
      </x:c>
      <x:c r="G7" s="44" t="n">
        <x:v>4</x:v>
      </x:c>
      <x:c r="H7" s="44" t="n">
        <x:v>5</x:v>
      </x:c>
      <x:c r="I7" s="44" t="n">
        <x:v>4</x:v>
      </x:c>
      <x:c r="J7" s="44" t="n">
        <x:v>4</x:v>
      </x:c>
      <x:c r="K7" s="44" t="n">
        <x:v>4</x:v>
      </x:c>
      <x:c r="L7" s="58" t="n">
        <x:f>SUMPRODUCT(F7:K7,$F$4:$K$4)*20</x:f>
        <x:v>87</x:v>
      </x:c>
      <x:c r="M7" s="40" t="str">
        <x:f>IF(L7&gt;=88,"최우선",IF(L7&gt;=82,"우선검토",IF(L7&gt;=75,"보완검토","보류")))</x:f>
        <x:v>우선검토</x:v>
      </x:c>
      <x:c r="N7" s="40" t="str">
        <x:v>미검증</x:v>
      </x:c>
    </x:row>
    <x:row r="8" ht="15" hidden="0" customHeight="1">
      <x:c r="A8" s="40" t="n">
        <x:v>3</x:v>
      </x:c>
      <x:c r="B8" s="40" t="str">
        <x:v>수식톡톡</x:v>
      </x:c>
      <x:c r="C8" s="40" t="str">
        <x:v>SUSIK TOKTOK</x:v>
      </x:c>
      <x:c r="D8" s="40" t="str">
        <x:v>수식 + 의성어</x:v>
      </x:c>
      <x:c r="E8" s="40" t="str">
        <x:v>수식을 가볍게 깨우치고 건드리는 느낌</x:v>
      </x:c>
      <x:c r="F8" s="44" t="n">
        <x:v>4</x:v>
      </x:c>
      <x:c r="G8" s="44" t="n">
        <x:v>5</x:v>
      </x:c>
      <x:c r="H8" s="44" t="n">
        <x:v>5</x:v>
      </x:c>
      <x:c r="I8" s="44" t="n">
        <x:v>4</x:v>
      </x:c>
      <x:c r="J8" s="44" t="n">
        <x:v>4</x:v>
      </x:c>
      <x:c r="K8" s="44" t="n">
        <x:v>4</x:v>
      </x:c>
      <x:c r="L8" s="58" t="n">
        <x:f>SUMPRODUCT(F8:K8,$F$4:$K$4)*20</x:f>
        <x:v>87</x:v>
      </x:c>
      <x:c r="M8" s="40" t="str">
        <x:f>IF(L8&gt;=88,"최우선",IF(L8&gt;=82,"우선검토",IF(L8&gt;=75,"보완검토","보류")))</x:f>
        <x:v>우선검토</x:v>
      </x:c>
      <x:c r="N8" s="40" t="str">
        <x:v>미검증</x:v>
      </x:c>
    </x:row>
    <x:row r="9" ht="15" hidden="0" customHeight="1">
      <x:c r="A9" s="40" t="n">
        <x:v>4</x:v>
      </x:c>
      <x:c r="B9" s="40" t="str">
        <x:v>매쓰핏</x:v>
      </x:c>
      <x:c r="C9" s="40" t="str">
        <x:v>MATHFIT</x:v>
      </x:c>
      <x:c r="D9" s="40" t="str">
        <x:v>Math + Fit</x:v>
      </x:c>
      <x:c r="E9" s="40" t="str">
        <x:v>아이에게 맞는 수학 학습</x:v>
      </x:c>
      <x:c r="F9" s="44" t="n">
        <x:v>4</x:v>
      </x:c>
      <x:c r="G9" s="44" t="n">
        <x:v>5</x:v>
      </x:c>
      <x:c r="H9" s="44" t="n">
        <x:v>4</x:v>
      </x:c>
      <x:c r="I9" s="44" t="n">
        <x:v>5</x:v>
      </x:c>
      <x:c r="J9" s="44" t="n">
        <x:v>4</x:v>
      </x:c>
      <x:c r="K9" s="44" t="n">
        <x:v>5</x:v>
      </x:c>
      <x:c r="L9" s="58" t="n">
        <x:f>SUMPRODUCT(F9:K9,$F$4:$K$4)*20</x:f>
        <x:v>90</x:v>
      </x:c>
      <x:c r="M9" s="40" t="str">
        <x:f>IF(L9&gt;=88,"최우선",IF(L9&gt;=82,"우선검토",IF(L9&gt;=75,"보완검토","보류")))</x:f>
        <x:v>최우선</x:v>
      </x:c>
      <x:c r="N9" s="40" t="str">
        <x:v>미검증</x:v>
      </x:c>
    </x:row>
    <x:row r="10" ht="15" hidden="0" customHeight="1">
      <x:c r="A10" s="40" t="n">
        <x:v>5</x:v>
      </x:c>
      <x:c r="B10" s="40" t="str">
        <x:v>수학한입</x:v>
      </x:c>
      <x:c r="C10" s="40" t="str">
        <x:v>ONE BITE MATH</x:v>
      </x:c>
      <x:c r="D10" s="40" t="str">
        <x:v>수학 + 한입</x:v>
      </x:c>
      <x:c r="E10" s="40" t="str">
        <x:v>작게 나눠 부담 없이 이해하는 수학</x:v>
      </x:c>
      <x:c r="F10" s="44" t="n">
        <x:v>5</x:v>
      </x:c>
      <x:c r="G10" s="44" t="n">
        <x:v>5</x:v>
      </x:c>
      <x:c r="H10" s="44" t="n">
        <x:v>5</x:v>
      </x:c>
      <x:c r="I10" s="44" t="n">
        <x:v>4</x:v>
      </x:c>
      <x:c r="J10" s="44" t="n">
        <x:v>4</x:v>
      </x:c>
      <x:c r="K10" s="44" t="n">
        <x:v>4</x:v>
      </x:c>
      <x:c r="L10" s="58" t="n">
        <x:f>SUMPRODUCT(F10:K10,$F$4:$K$4)*20</x:f>
        <x:v>91</x:v>
      </x:c>
      <x:c r="M10" s="40" t="str">
        <x:f>IF(L10&gt;=88,"최우선",IF(L10&gt;=82,"우선검토",IF(L10&gt;=75,"보완검토","보류")))</x:f>
        <x:v>최우선</x:v>
      </x:c>
      <x:c r="N10" s="40" t="str">
        <x:v>미검증</x:v>
      </x:c>
    </x:row>
    <x:row r="11" ht="15" hidden="0" customHeight="1">
      <x:c r="A11" s="40" t="n">
        <x:v>6</x:v>
      </x:c>
      <x:c r="B11" s="40" t="str">
        <x:v>공식친구</x:v>
      </x:c>
      <x:c r="C11" s="40" t="str">
        <x:v>FORMULA FRIEND</x:v>
      </x:c>
      <x:c r="D11" s="40" t="str">
        <x:v>공식 + 친구</x:v>
      </x:c>
      <x:c r="E11" s="40" t="str">
        <x:v>외우기 전에 공식과 친해지는 경험</x:v>
      </x:c>
      <x:c r="F11" s="44" t="n">
        <x:v>5</x:v>
      </x:c>
      <x:c r="G11" s="44" t="n">
        <x:v>4</x:v>
      </x:c>
      <x:c r="H11" s="44" t="n">
        <x:v>5</x:v>
      </x:c>
      <x:c r="I11" s="44" t="n">
        <x:v>4</x:v>
      </x:c>
      <x:c r="J11" s="44" t="n">
        <x:v>3</x:v>
      </x:c>
      <x:c r="K11" s="44" t="n">
        <x:v>4</x:v>
      </x:c>
      <x:c r="L11" s="58" t="n">
        <x:f>SUMPRODUCT(F11:K11,$F$4:$K$4)*20</x:f>
        <x:v>83.99999999999999</x:v>
      </x:c>
      <x:c r="M11" s="40" t="str">
        <x:f>IF(L11&gt;=88,"최우선",IF(L11&gt;=82,"우선검토",IF(L11&gt;=75,"보완검토","보류")))</x:f>
        <x:v>우선검토</x:v>
      </x:c>
      <x:c r="N11" s="40" t="str">
        <x:v>미검증</x:v>
      </x:c>
    </x:row>
    <x:row r="12" ht="15" hidden="0" customHeight="1">
      <x:c r="A12" s="40" t="n">
        <x:v>7</x:v>
      </x:c>
      <x:c r="B12" s="40" t="str">
        <x:v>수학루틴</x:v>
      </x:c>
      <x:c r="C12" s="40" t="str">
        <x:v>MATH ROUTINE</x:v>
      </x:c>
      <x:c r="D12" s="40" t="str">
        <x:v>수학 + 습관</x:v>
      </x:c>
      <x:c r="E12" s="40" t="str">
        <x:v>짧은 반복으로 기억을 만드는 학습 습관</x:v>
      </x:c>
      <x:c r="F12" s="44" t="n">
        <x:v>5</x:v>
      </x:c>
      <x:c r="G12" s="44" t="n">
        <x:v>4</x:v>
      </x:c>
      <x:c r="H12" s="44" t="n">
        <x:v>3</x:v>
      </x:c>
      <x:c r="I12" s="44" t="n">
        <x:v>5</x:v>
      </x:c>
      <x:c r="J12" s="44" t="n">
        <x:v>3</x:v>
      </x:c>
      <x:c r="K12" s="44" t="n">
        <x:v>5</x:v>
      </x:c>
      <x:c r="L12" s="58" t="n">
        <x:f>SUMPRODUCT(F12:K12,$F$4:$K$4)*20</x:f>
        <x:v>84</x:v>
      </x:c>
      <x:c r="M12" s="40" t="str">
        <x:f>IF(L12&gt;=88,"최우선",IF(L12&gt;=82,"우선검토",IF(L12&gt;=75,"보완검토","보류")))</x:f>
        <x:v>우선검토</x:v>
      </x:c>
      <x:c r="N12" s="40" t="str">
        <x:v>미검증</x:v>
      </x:c>
    </x:row>
    <x:row r="13" ht="15" hidden="0" customHeight="1">
      <x:c r="A13" s="40" t="n">
        <x:v>8</x:v>
      </x:c>
      <x:c r="B13" s="40" t="str">
        <x:v>딱수학</x:v>
      </x:c>
      <x:c r="C13" s="40" t="str">
        <x:v>DDAK MATH</x:v>
      </x:c>
      <x:c r="D13" s="40" t="str">
        <x:v>딱 + 수학</x:v>
      </x:c>
      <x:c r="E13" s="40" t="str">
        <x:v>딱 이해되고 딱 기억되는 수학</x:v>
      </x:c>
      <x:c r="F13" s="44" t="n">
        <x:v>5</x:v>
      </x:c>
      <x:c r="G13" s="44" t="n">
        <x:v>5</x:v>
      </x:c>
      <x:c r="H13" s="44" t="n">
        <x:v>4</x:v>
      </x:c>
      <x:c r="I13" s="44" t="n">
        <x:v>4</x:v>
      </x:c>
      <x:c r="J13" s="44" t="n">
        <x:v>4</x:v>
      </x:c>
      <x:c r="K13" s="44" t="n">
        <x:v>4</x:v>
      </x:c>
      <x:c r="L13" s="58" t="n">
        <x:f>SUMPRODUCT(F13:K13,$F$4:$K$4)*20</x:f>
        <x:v>88</x:v>
      </x:c>
      <x:c r="M13" s="40" t="str">
        <x:f>IF(L13&gt;=88,"최우선",IF(L13&gt;=82,"우선검토",IF(L13&gt;=75,"보완검토","보류")))</x:f>
        <x:v>최우선</x:v>
      </x:c>
      <x:c r="N13" s="40" t="str">
        <x:v>미검증</x:v>
      </x:c>
    </x:row>
    <x:row r="14" ht="15" hidden="0" customHeight="1">
      <x:c r="A14" s="40" t="n">
        <x:v>9</x:v>
      </x:c>
      <x:c r="B14" s="40" t="str">
        <x:v>매쓰팝</x:v>
      </x:c>
      <x:c r="C14" s="40" t="str">
        <x:v>MATHPOP</x:v>
      </x:c>
      <x:c r="D14" s="40" t="str">
        <x:v>Math + Pop</x:v>
      </x:c>
      <x:c r="E14" s="40" t="str">
        <x:v>공식이 머릿속에 팝업처럼 떠오름</x:v>
      </x:c>
      <x:c r="F14" s="44" t="n">
        <x:v>4</x:v>
      </x:c>
      <x:c r="G14" s="44" t="n">
        <x:v>5</x:v>
      </x:c>
      <x:c r="H14" s="44" t="n">
        <x:v>5</x:v>
      </x:c>
      <x:c r="I14" s="44" t="n">
        <x:v>3</x:v>
      </x:c>
      <x:c r="J14" s="44" t="n">
        <x:v>4</x:v>
      </x:c>
      <x:c r="K14" s="44" t="n">
        <x:v>5</x:v>
      </x:c>
      <x:c r="L14" s="58" t="n">
        <x:f>SUMPRODUCT(F14:K14,$F$4:$K$4)*20</x:f>
        <x:v>87</x:v>
      </x:c>
      <x:c r="M14" s="40" t="str">
        <x:f>IF(L14&gt;=88,"최우선",IF(L14&gt;=82,"우선검토",IF(L14&gt;=75,"보완검토","보류")))</x:f>
        <x:v>우선검토</x:v>
      </x:c>
      <x:c r="N14" s="40" t="str">
        <x:v>미검증</x:v>
      </x:c>
    </x:row>
    <x:row r="15" ht="15" hidden="0" customHeight="1">
      <x:c r="A15" s="40" t="n">
        <x:v>10</x:v>
      </x:c>
      <x:c r="B15" s="40" t="str">
        <x:v>수학기억소</x:v>
      </x:c>
      <x:c r="C15" s="40" t="str">
        <x:v>MATH MEMORY LAB</x:v>
      </x:c>
      <x:c r="D15" s="40" t="str">
        <x:v>수학 + 기억 + 장소</x:v>
      </x:c>
      <x:c r="E15" s="40" t="str">
        <x:v>배운 공식이 오래 머무는 곳</x:v>
      </x:c>
      <x:c r="F15" s="44" t="n">
        <x:v>4</x:v>
      </x:c>
      <x:c r="G15" s="44" t="n">
        <x:v>4</x:v>
      </x:c>
      <x:c r="H15" s="44" t="n">
        <x:v>4</x:v>
      </x:c>
      <x:c r="I15" s="44" t="n">
        <x:v>4</x:v>
      </x:c>
      <x:c r="J15" s="44" t="n">
        <x:v>5</x:v>
      </x:c>
      <x:c r="K15" s="44" t="n">
        <x:v>4</x:v>
      </x:c>
      <x:c r="L15" s="58" t="n">
        <x:f>SUMPRODUCT(F15:K15,$F$4:$K$4)*20</x:f>
        <x:v>83</x:v>
      </x:c>
      <x:c r="M15" s="40" t="str">
        <x:f>IF(L15&gt;=88,"최우선",IF(L15&gt;=82,"우선검토",IF(L15&gt;=75,"보완검토","보류")))</x:f>
        <x:v>우선검토</x:v>
      </x:c>
      <x:c r="N15" s="40" t="str">
        <x:v>미검증</x:v>
      </x:c>
    </x:row>
    <x:row r="16" ht="15" hidden="0" customHeight="1">
      <x:c r="A16" s="40" t="n">
        <x:v>11</x:v>
      </x:c>
      <x:c r="B16" s="40" t="str">
        <x:v>공식착</x:v>
      </x:c>
      <x:c r="C16" s="40" t="str">
        <x:v>FORMULA CHAK</x:v>
      </x:c>
      <x:c r="D16" s="40" t="str">
        <x:v>공식 + 착</x:v>
      </x:c>
      <x:c r="E16" s="40" t="str">
        <x:v>공식이 머리에 착 붙는 이미지</x:v>
      </x:c>
      <x:c r="F16" s="44" t="n">
        <x:v>5</x:v>
      </x:c>
      <x:c r="G16" s="44" t="n">
        <x:v>5</x:v>
      </x:c>
      <x:c r="H16" s="44" t="n">
        <x:v>5</x:v>
      </x:c>
      <x:c r="I16" s="44" t="n">
        <x:v>4</x:v>
      </x:c>
      <x:c r="J16" s="44" t="n">
        <x:v>4</x:v>
      </x:c>
      <x:c r="K16" s="44" t="n">
        <x:v>4</x:v>
      </x:c>
      <x:c r="L16" s="58" t="n">
        <x:f>SUMPRODUCT(F16:K16,$F$4:$K$4)*20</x:f>
        <x:v>91</x:v>
      </x:c>
      <x:c r="M16" s="40" t="str">
        <x:f>IF(L16&gt;=88,"최우선",IF(L16&gt;=82,"우선검토",IF(L16&gt;=75,"보완검토","보류")))</x:f>
        <x:v>최우선</x:v>
      </x:c>
      <x:c r="N16" s="40" t="str">
        <x:v>미검증</x:v>
      </x:c>
    </x:row>
    <x:row r="17" ht="15" hidden="0" customHeight="1">
      <x:c r="A17" s="40" t="n">
        <x:v>12</x:v>
      </x:c>
      <x:c r="B17" s="40" t="str">
        <x:v>수학스위치</x:v>
      </x:c>
      <x:c r="C17" s="40" t="str">
        <x:v>MATH SWITCH</x:v>
      </x:c>
      <x:c r="D17" s="40" t="str">
        <x:v>수학 + 전환</x:v>
      </x:c>
      <x:c r="E17" s="40" t="str">
        <x:v>수학 감각과 자신감을 켜는 경험</x:v>
      </x:c>
      <x:c r="F17" s="44" t="n">
        <x:v>4</x:v>
      </x:c>
      <x:c r="G17" s="44" t="n">
        <x:v>4</x:v>
      </x:c>
      <x:c r="H17" s="44" t="n">
        <x:v>4</x:v>
      </x:c>
      <x:c r="I17" s="44" t="n">
        <x:v>5</x:v>
      </x:c>
      <x:c r="J17" s="44" t="n">
        <x:v>4</x:v>
      </x:c>
      <x:c r="K17" s="44" t="n">
        <x:v>5</x:v>
      </x:c>
      <x:c r="L17" s="58" t="n">
        <x:f>SUMPRODUCT(F17:K17,$F$4:$K$4)*20</x:f>
        <x:v>86.00000000000001</x:v>
      </x:c>
      <x:c r="M17" s="40" t="str">
        <x:f>IF(L17&gt;=88,"최우선",IF(L17&gt;=82,"우선검토",IF(L17&gt;=75,"보완검토","보류")))</x:f>
        <x:v>우선검토</x:v>
      </x:c>
      <x:c r="N17" s="40" t="str">
        <x:v>미검증</x:v>
      </x:c>
    </x:row>
    <x:row r="18" ht="15" hidden="0" customHeight="1">
      <x:c r="A18" s="40" t="n">
        <x:v>13</x:v>
      </x:c>
      <x:c r="B18" s="40" t="str">
        <x:v>매쓰코드</x:v>
      </x:c>
      <x:c r="C18" s="40" t="str">
        <x:v>MATHCODE</x:v>
      </x:c>
      <x:c r="D18" s="40" t="str">
        <x:v>Math + Code</x:v>
      </x:c>
      <x:c r="E18" s="40" t="str">
        <x:v>공식과 규칙을 읽는 힘</x:v>
      </x:c>
      <x:c r="F18" s="44" t="n">
        <x:v>4</x:v>
      </x:c>
      <x:c r="G18" s="44" t="n">
        <x:v>5</x:v>
      </x:c>
      <x:c r="H18" s="44" t="n">
        <x:v>3</x:v>
      </x:c>
      <x:c r="I18" s="44" t="n">
        <x:v>5</x:v>
      </x:c>
      <x:c r="J18" s="44" t="n">
        <x:v>4</x:v>
      </x:c>
      <x:c r="K18" s="44" t="n">
        <x:v>5</x:v>
      </x:c>
      <x:c r="L18" s="58" t="n">
        <x:f>SUMPRODUCT(F18:K18,$F$4:$K$4)*20</x:f>
        <x:v>87</x:v>
      </x:c>
      <x:c r="M18" s="40" t="str">
        <x:f>IF(L18&gt;=88,"최우선",IF(L18&gt;=82,"우선검토",IF(L18&gt;=75,"보완검토","보류")))</x:f>
        <x:v>우선검토</x:v>
      </x:c>
      <x:c r="N18" s="40" t="str">
        <x:v>미검증</x:v>
      </x:c>
    </x:row>
    <x:row r="19" ht="15" hidden="0" customHeight="1">
      <x:c r="A19" s="40" t="n">
        <x:v>14</x:v>
      </x:c>
      <x:c r="B19" s="40" t="str">
        <x:v>수학플레이북</x:v>
      </x:c>
      <x:c r="C19" s="40" t="str">
        <x:v>MATH PLAYBOOK</x:v>
      </x:c>
      <x:c r="D19" s="40" t="str">
        <x:v>수학 + 실행서</x:v>
      </x:c>
      <x:c r="E19" s="40" t="str">
        <x:v>보고 말하고 풀며 익히는 학습 흐름</x:v>
      </x:c>
      <x:c r="F19" s="44" t="n">
        <x:v>4</x:v>
      </x:c>
      <x:c r="G19" s="44" t="n">
        <x:v>4</x:v>
      </x:c>
      <x:c r="H19" s="44" t="n">
        <x:v>4</x:v>
      </x:c>
      <x:c r="I19" s="44" t="n">
        <x:v>5</x:v>
      </x:c>
      <x:c r="J19" s="44" t="n">
        <x:v>4</x:v>
      </x:c>
      <x:c r="K19" s="44" t="n">
        <x:v>5</x:v>
      </x:c>
      <x:c r="L19" s="58" t="n">
        <x:f>SUMPRODUCT(F19:K19,$F$4:$K$4)*20</x:f>
        <x:v>86.00000000000001</x:v>
      </x:c>
      <x:c r="M19" s="40" t="str">
        <x:f>IF(L19&gt;=88,"최우선",IF(L19&gt;=82,"우선검토",IF(L19&gt;=75,"보완검토","보류")))</x:f>
        <x:v>우선검토</x:v>
      </x:c>
      <x:c r="N19" s="40" t="str">
        <x:v>미검증</x:v>
      </x:c>
    </x:row>
    <x:row r="20" ht="15" hidden="0" customHeight="1">
      <x:c r="A20" s="40" t="n">
        <x:v>15</x:v>
      </x:c>
      <x:c r="B20" s="40" t="str">
        <x:v>수학쏙</x:v>
      </x:c>
      <x:c r="C20" s="40" t="str">
        <x:v>MATH SSOK</x:v>
      </x:c>
      <x:c r="D20" s="40" t="str">
        <x:v>수학 + 쏙</x:v>
      </x:c>
      <x:c r="E20" s="40" t="str">
        <x:v>공식은 쏙 들어오고 자신감은 쑥 자람</x:v>
      </x:c>
      <x:c r="F20" s="44" t="n">
        <x:v>5</x:v>
      </x:c>
      <x:c r="G20" s="44" t="n">
        <x:v>5</x:v>
      </x:c>
      <x:c r="H20" s="44" t="n">
        <x:v>5</x:v>
      </x:c>
      <x:c r="I20" s="44" t="n">
        <x:v>4</x:v>
      </x:c>
      <x:c r="J20" s="44" t="n">
        <x:v>3</x:v>
      </x:c>
      <x:c r="K20" s="44" t="n">
        <x:v>4</x:v>
      </x:c>
      <x:c r="L20" s="58" t="n">
        <x:f>SUMPRODUCT(F20:K20,$F$4:$K$4)*20</x:f>
        <x:v>87.99999999999999</x:v>
      </x:c>
      <x:c r="M20" s="40" t="str">
        <x:f>IF(L20&gt;=88,"최우선",IF(L20&gt;=82,"우선검토",IF(L20&gt;=75,"보완검토","보류")))</x:f>
        <x:v>최우선</x:v>
      </x:c>
      <x:c r="N20" s="40" t="str">
        <x:v>미검증</x:v>
      </x:c>
    </x:row>
    <x:row r="21" ht="15" hidden="0" customHeight="1">
      <x:c r="A21" s="40" t="n">
        <x:v>16</x:v>
      </x:c>
      <x:c r="B21" s="40" t="str">
        <x:v>수학리콜</x:v>
      </x:c>
      <x:c r="C21" s="40" t="str">
        <x:v>MATH RECALL</x:v>
      </x:c>
      <x:c r="D21" s="40" t="str">
        <x:v>수학 + 회상</x:v>
      </x:c>
      <x:c r="E21" s="40" t="str">
        <x:v>공식을 스스로 떠올리는 핵심 원리</x:v>
      </x:c>
      <x:c r="F21" s="44" t="n">
        <x:v>4</x:v>
      </x:c>
      <x:c r="G21" s="44" t="n">
        <x:v>4</x:v>
      </x:c>
      <x:c r="H21" s="44" t="n">
        <x:v>3</x:v>
      </x:c>
      <x:c r="I21" s="44" t="n">
        <x:v>5</x:v>
      </x:c>
      <x:c r="J21" s="44" t="n">
        <x:v>5</x:v>
      </x:c>
      <x:c r="K21" s="44" t="n">
        <x:v>5</x:v>
      </x:c>
      <x:c r="L21" s="58" t="n">
        <x:f>SUMPRODUCT(F21:K21,$F$4:$K$4)*20</x:f>
        <x:v>86</x:v>
      </x:c>
      <x:c r="M21" s="40" t="str">
        <x:f>IF(L21&gt;=88,"최우선",IF(L21&gt;=82,"우선검토",IF(L21&gt;=75,"보완검토","보류")))</x:f>
        <x:v>우선검토</x:v>
      </x:c>
      <x:c r="N21" s="40" t="str">
        <x:v>미검증</x:v>
      </x:c>
    </x:row>
    <x:row r="22" ht="15" hidden="0" customHeight="1">
      <x:c r="A22" s="40" t="n">
        <x:v>17</x:v>
      </x:c>
      <x:c r="B22" s="40" t="str">
        <x:v>포뮬라팝</x:v>
      </x:c>
      <x:c r="C22" s="40" t="str">
        <x:v>FORMULAPOP</x:v>
      </x:c>
      <x:c r="D22" s="40" t="str">
        <x:v>Formula + Pop</x:v>
      </x:c>
      <x:c r="E22" s="40" t="str">
        <x:v>공식이 쉽고 재미있게 떠오르는 브랜드</x:v>
      </x:c>
      <x:c r="F22" s="44" t="n">
        <x:v>4</x:v>
      </x:c>
      <x:c r="G22" s="44" t="n">
        <x:v>5</x:v>
      </x:c>
      <x:c r="H22" s="44" t="n">
        <x:v>5</x:v>
      </x:c>
      <x:c r="I22" s="44" t="n">
        <x:v>3</x:v>
      </x:c>
      <x:c r="J22" s="44" t="n">
        <x:v>5</x:v>
      </x:c>
      <x:c r="K22" s="44" t="n">
        <x:v>5</x:v>
      </x:c>
      <x:c r="L22" s="58" t="n">
        <x:f>SUMPRODUCT(F22:K22,$F$4:$K$4)*20</x:f>
        <x:v>90</x:v>
      </x:c>
      <x:c r="M22" s="40" t="str">
        <x:f>IF(L22&gt;=88,"최우선",IF(L22&gt;=82,"우선검토",IF(L22&gt;=75,"보완검토","보류")))</x:f>
        <x:v>최우선</x:v>
      </x:c>
      <x:c r="N22" s="40" t="str">
        <x:v>미검증</x:v>
      </x:c>
    </x:row>
    <x:row r="23" ht="15" hidden="0" customHeight="1">
      <x:c r="A23" s="40" t="n">
        <x:v>18</x:v>
      </x:c>
      <x:c r="B23" s="40" t="str">
        <x:v>매쓰토리</x:v>
      </x:c>
      <x:c r="C23" s="40" t="str">
        <x:v>MATHORY</x:v>
      </x:c>
      <x:c r="D23" s="40" t="str">
        <x:v>Math + Story</x:v>
      </x:c>
      <x:c r="E23" s="40" t="str">
        <x:v>이야기로 이해하고 기억하는 수학</x:v>
      </x:c>
      <x:c r="F23" s="44" t="n">
        <x:v>3</x:v>
      </x:c>
      <x:c r="G23" s="44" t="n">
        <x:v>5</x:v>
      </x:c>
      <x:c r="H23" s="44" t="n">
        <x:v>5</x:v>
      </x:c>
      <x:c r="I23" s="44" t="n">
        <x:v>4</x:v>
      </x:c>
      <x:c r="J23" s="44" t="n">
        <x:v>5</x:v>
      </x:c>
      <x:c r="K23" s="44" t="n">
        <x:v>5</x:v>
      </x:c>
      <x:c r="L23" s="58" t="n">
        <x:f>SUMPRODUCT(F23:K23,$F$4:$K$4)*20</x:f>
        <x:v>89</x:v>
      </x:c>
      <x:c r="M23" s="40" t="str">
        <x:f>IF(L23&gt;=88,"최우선",IF(L23&gt;=82,"우선검토",IF(L23&gt;=75,"보완검토","보류")))</x:f>
        <x:v>최우선</x:v>
      </x:c>
      <x:c r="N23" s="40" t="str">
        <x:v>미검증</x:v>
      </x:c>
    </x:row>
    <x:row r="24"/>
    <x:row r="25" ht="15" hidden="0" customHeight="1">
      <x:c r="A25" s="23" t="str">
        <x:v>현재 추천 방향</x:v>
      </x:c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</x:row>
    <x:row r="26"/>
    <x:row r="27" ht="15" hidden="0" customHeight="1">
      <x:c r="A27" s="32" t="str">
        <x:v>방향</x:v>
      </x:c>
      <x:c r="B27" s="32" t="str">
        <x:v>후보</x:v>
      </x:c>
      <x:c r="C27" s="32" t="str">
        <x:v>추천 이유</x:v>
      </x:c>
      <x:c r="D27" s="32" t="str">
        <x:v>주의점</x:v>
      </x:c>
    </x:row>
    <x:row r="28" ht="36" hidden="0" customHeight="1">
      <x:c r="A28" s="40" t="str">
        <x:v>가장 직관적</x:v>
      </x:c>
      <x:c r="B28" s="40" t="str">
        <x:v>수학착착 / 수학한입 / 공식착</x:v>
      </x:c>
      <x:c r="C28" s="40" t="str">
        <x:v>아이와 부모가 이름만 보고도 쉬움·기억의 이미지를 이해</x:v>
      </x:c>
      <x:c r="D28" s="40" t="str">
        <x:v>상표 중복 가능성이 높아 검증 필수</x:v>
      </x:c>
    </x:row>
    <x:row r="29" ht="24" hidden="0" customHeight="1">
      <x:c r="A29" s="40" t="str">
        <x:v>브랜드 확장성</x:v>
      </x:c>
      <x:c r="B29" s="40" t="str">
        <x:v>매쓰핏 / 매쓰코드 / 수학플레이북</x:v>
      </x:c>
      <x:c r="C29" s="40" t="str">
        <x:v>학년·과목·앱·콘텐츠 확장에 유리</x:v>
      </x:c>
      <x:c r="D29" s="40" t="str">
        <x:v>아이 친화적 감성을 별도 디자인으로 보완</x:v>
      </x:c>
    </x:row>
    <x:row r="30" ht="36" hidden="0" customHeight="1">
      <x:c r="A30" s="40" t="str">
        <x:v>차별화 중심</x:v>
      </x:c>
      <x:c r="B30" s="40" t="str">
        <x:v>수학리콜 / 포뮬라팝 / 매쓰토리</x:v>
      </x:c>
      <x:c r="C30" s="40" t="str">
        <x:v>회상 학습·팝업 기억·스토리 방식의 차별점 표현</x:v>
      </x:c>
      <x:c r="D30" s="40" t="str">
        <x:v>한글 직관성과 발음 테스트 필요</x:v>
      </x:c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N2"/>
    <x:mergeCell ref="A3:N3"/>
    <x:mergeCell ref="A4:E4"/>
    <x:mergeCell ref="A25:N25"/>
  </x:mergeCells>
  <x:conditionalFormatting sqref="L6:L23">
    <x:cfRule type="colorScale" priority="1">
      <x:colorScale>
        <x:cfvo type="min"/>
        <x:cfvo type="percentile" val="50"/>
        <x:cfvo type="max"/>
        <x:color rgb="FFF4CCCC"/>
        <x:color rgb="FFFFF4CC"/>
        <x:color rgb="FFE2F0D9"/>
      </x:colorScale>
    </x:cfRule>
  </x:conditionalFormatting>
  <x:conditionalFormatting sqref="M6:M23">
    <x:cfRule type="expression" dxfId="6" priority="2">
      <x:formula>M6="최우선"</x:formula>
    </x:cfRule>
    <x:cfRule type="expression" dxfId="7" priority="3">
      <x:formula>M6="우선검토"</x:formula>
    </x:cfRule>
    <x:cfRule type="expression" dxfId="8" priority="4">
      <x:formula>M6="보류"</x:formula>
    </x:cfRule>
  </x:conditionalFormatting>
  <x:dataValidations count="1">
    <x:dataValidation type="list" sqref="N6:N23">
      <x:formula1>"미검증,검색필요,유사발견,출원검토,제외"</x:formula1>
    </x:dataValidation>
  </x:dataValidations>
  <x:pageMargins left="0.7" right="0.7" top="0.75" bottom="0.75" header="0.3" footer="0.3"/>
  <x:drawing xmlns:r="http://schemas.openxmlformats.org/officeDocument/2006/relationships" r:id="R72be3e3ef3bb498b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1" hidden="0" customWidth="1"/>
    <x:col min="10" max="10" width="18" hidden="0" customWidth="1"/>
    <x:col min="11" max="11" width="24" hidden="0" customWidth="1"/>
  </x:cols>
  <x:sheetData>
    <x:row r="1" ht="21.600000381469727" hidden="0" customHeight="1">
      <x:c r="A1" s="5" t="str">
        <x:v>슬로건 후보 평가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64" hidden="0" customHeight="1">
      <x:c r="A3" s="14" t="str">
        <x:v>브랜드명 확정 전에도 사용할 수 있도록 ‘학습 약속’을 중심으로 만들었습니다. C~H 열 점수를 수정하면 총점이 자동 계산됩니다.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21.600000381469727" hidden="0" customHeight="1">
      <x:c r="A4" s="74" t="str">
        <x:v>평가 가중치 →</x:v>
      </x:c>
      <x:c r="B4" s="74"/>
      <x:c r="C4" s="75" t="n">
        <x:v>0.2</x:v>
      </x:c>
      <x:c r="D4" s="75" t="n">
        <x:v>0.2</x:v>
      </x:c>
      <x:c r="E4" s="75" t="n">
        <x:v>0.15</x:v>
      </x:c>
      <x:c r="F4" s="75" t="n">
        <x:v>0.15</x:v>
      </x:c>
      <x:c r="G4" s="75" t="n">
        <x:v>0.15</x:v>
      </x:c>
      <x:c r="H4" s="75" t="n">
        <x:v>0.15</x:v>
      </x:c>
    </x:row>
    <x:row r="5" ht="24" hidden="0" customHeight="1">
      <x:c r="A5" s="32" t="str">
        <x:v>번호</x:v>
      </x:c>
      <x:c r="B5" s="32" t="str">
        <x:v>슬로건</x:v>
      </x:c>
      <x:c r="C5" s="32" t="str">
        <x:v>명확성</x:v>
      </x:c>
      <x:c r="D5" s="32" t="str">
        <x:v>기억성</x:v>
      </x:c>
      <x:c r="E5" s="32" t="str">
        <x:v>아이친화</x:v>
      </x:c>
      <x:c r="F5" s="32" t="str">
        <x:v>부모신뢰</x:v>
      </x:c>
      <x:c r="G5" s="32" t="str">
        <x:v>차별성</x:v>
      </x:c>
      <x:c r="H5" s="32" t="str">
        <x:v>확장성</x:v>
      </x:c>
      <x:c r="I5" s="32" t="str">
        <x:v>총점
100</x:v>
      </x:c>
      <x:c r="J5" s="32" t="str">
        <x:v>메시지 축</x:v>
      </x:c>
      <x:c r="K5" s="32" t="str">
        <x:v>추천 결합 브랜드</x:v>
      </x:c>
    </x:row>
    <x:row r="6" ht="15" hidden="0" customHeight="1">
      <x:c r="A6" s="40" t="n">
        <x:v>1</x:v>
      </x:c>
      <x:c r="B6" s="40" t="str">
        <x:v>이해하면, 공식이 오래 남는다.</x:v>
      </x:c>
      <x:c r="C6" s="44" t="n">
        <x:v>5</x:v>
      </x:c>
      <x:c r="D6" s="44" t="n">
        <x:v>5</x:v>
      </x:c>
      <x:c r="E6" s="44" t="n">
        <x:v>4</x:v>
      </x:c>
      <x:c r="F6" s="44" t="n">
        <x:v>5</x:v>
      </x:c>
      <x:c r="G6" s="44" t="n">
        <x:v>4</x:v>
      </x:c>
      <x:c r="H6" s="44" t="n">
        <x:v>5</x:v>
      </x:c>
      <x:c r="I6" s="58" t="n">
        <x:f>SUMPRODUCT(C6:H6,$C$4:$H$4)*20</x:f>
        <x:v>94</x:v>
      </x:c>
      <x:c r="J6" s="40" t="str">
        <x:v>이해·기억</x:v>
      </x:c>
      <x:c r="K6" s="40" t="str">
        <x:v>수학착착 / 매쓰핏</x:v>
      </x:c>
    </x:row>
    <x:row r="7" ht="15" hidden="0" customHeight="1">
      <x:c r="A7" s="40" t="n">
        <x:v>2</x:v>
      </x:c>
      <x:c r="B7" s="40" t="str">
        <x:v>공식은 쉽게, 기억은 오래.</x:v>
      </x:c>
      <x:c r="C7" s="44" t="n">
        <x:v>5</x:v>
      </x:c>
      <x:c r="D7" s="44" t="n">
        <x:v>5</x:v>
      </x:c>
      <x:c r="E7" s="44" t="n">
        <x:v>5</x:v>
      </x:c>
      <x:c r="F7" s="44" t="n">
        <x:v>5</x:v>
      </x:c>
      <x:c r="G7" s="44" t="n">
        <x:v>4</x:v>
      </x:c>
      <x:c r="H7" s="44" t="n">
        <x:v>5</x:v>
      </x:c>
      <x:c r="I7" s="58" t="n">
        <x:f>SUMPRODUCT(C7:H7,$C$4:$H$4)*20</x:f>
        <x:v>97</x:v>
      </x:c>
      <x:c r="J7" s="40" t="str">
        <x:v>쉬움·기억</x:v>
      </x:c>
      <x:c r="K7" s="40" t="str">
        <x:v>공식착 / 수학쏙</x:v>
      </x:c>
    </x:row>
    <x:row r="8" ht="15" hidden="0" customHeight="1">
      <x:c r="A8" s="40" t="n">
        <x:v>3</x:v>
      </x:c>
      <x:c r="B8" s="40" t="str">
        <x:v>외우기 전에, 먼저 이해하게.</x:v>
      </x:c>
      <x:c r="C8" s="44" t="n">
        <x:v>5</x:v>
      </x:c>
      <x:c r="D8" s="44" t="n">
        <x:v>5</x:v>
      </x:c>
      <x:c r="E8" s="44" t="n">
        <x:v>4</x:v>
      </x:c>
      <x:c r="F8" s="44" t="n">
        <x:v>5</x:v>
      </x:c>
      <x:c r="G8" s="44" t="n">
        <x:v>5</x:v>
      </x:c>
      <x:c r="H8" s="44" t="n">
        <x:v>5</x:v>
      </x:c>
      <x:c r="I8" s="58" t="n">
        <x:f>SUMPRODUCT(C8:H8,$C$4:$H$4)*20</x:f>
        <x:v>97</x:v>
      </x:c>
      <x:c r="J8" s="40" t="str">
        <x:v>반암기·이해</x:v>
      </x:c>
      <x:c r="K8" s="40" t="str">
        <x:v>공식친구 / 수학한입</x:v>
      </x:c>
    </x:row>
    <x:row r="9" ht="15" hidden="0" customHeight="1">
      <x:c r="A9" s="40" t="n">
        <x:v>4</x:v>
      </x:c>
      <x:c r="B9" s="40" t="str">
        <x:v>배운 공식을 스스로 꺼내 쓰는 힘.</x:v>
      </x:c>
      <x:c r="C9" s="44" t="n">
        <x:v>5</x:v>
      </x:c>
      <x:c r="D9" s="44" t="n">
        <x:v>4</x:v>
      </x:c>
      <x:c r="E9" s="44" t="n">
        <x:v>3</x:v>
      </x:c>
      <x:c r="F9" s="44" t="n">
        <x:v>5</x:v>
      </x:c>
      <x:c r="G9" s="44" t="n">
        <x:v>5</x:v>
      </x:c>
      <x:c r="H9" s="44" t="n">
        <x:v>5</x:v>
      </x:c>
      <x:c r="I9" s="58" t="n">
        <x:f>SUMPRODUCT(C9:H9,$C$4:$H$4)*20</x:f>
        <x:v>90</x:v>
      </x:c>
      <x:c r="J9" s="40" t="str">
        <x:v>회상·적용</x:v>
      </x:c>
      <x:c r="K9" s="40" t="str">
        <x:v>수학리콜 / 매쓰코드</x:v>
      </x:c>
    </x:row>
    <x:row r="10" ht="15" hidden="0" customHeight="1">
      <x:c r="A10" s="40" t="n">
        <x:v>5</x:v>
      </x:c>
      <x:c r="B10" s="40" t="str">
        <x:v>공식이 놀이가 되면 수학이 쉬워진다.</x:v>
      </x:c>
      <x:c r="C10" s="44" t="n">
        <x:v>5</x:v>
      </x:c>
      <x:c r="D10" s="44" t="n">
        <x:v>5</x:v>
      </x:c>
      <x:c r="E10" s="44" t="n">
        <x:v>5</x:v>
      </x:c>
      <x:c r="F10" s="44" t="n">
        <x:v>4</x:v>
      </x:c>
      <x:c r="G10" s="44" t="n">
        <x:v>4</x:v>
      </x:c>
      <x:c r="H10" s="44" t="n">
        <x:v>4</x:v>
      </x:c>
      <x:c r="I10" s="58" t="n">
        <x:f>SUMPRODUCT(C10:H10,$C$4:$H$4)*20</x:f>
        <x:v>91</x:v>
      </x:c>
      <x:c r="J10" s="40" t="str">
        <x:v>재미·쉬움</x:v>
      </x:c>
      <x:c r="K10" s="40" t="str">
        <x:v>공식놀이터 / 포뮬라팝</x:v>
      </x:c>
    </x:row>
    <x:row r="11" ht="15" hidden="0" customHeight="1">
      <x:c r="A11" s="40" t="n">
        <x:v>6</x:v>
      </x:c>
      <x:c r="B11" s="40" t="str">
        <x:v>어려운 수학을 아이의 언어로.</x:v>
      </x:c>
      <x:c r="C11" s="44" t="n">
        <x:v>5</x:v>
      </x:c>
      <x:c r="D11" s="44" t="n">
        <x:v>5</x:v>
      </x:c>
      <x:c r="E11" s="44" t="n">
        <x:v>5</x:v>
      </x:c>
      <x:c r="F11" s="44" t="n">
        <x:v>5</x:v>
      </x:c>
      <x:c r="G11" s="44" t="n">
        <x:v>4</x:v>
      </x:c>
      <x:c r="H11" s="44" t="n">
        <x:v>5</x:v>
      </x:c>
      <x:c r="I11" s="58" t="n">
        <x:f>SUMPRODUCT(C11:H11,$C$4:$H$4)*20</x:f>
        <x:v>97</x:v>
      </x:c>
      <x:c r="J11" s="40" t="str">
        <x:v>아이 눈높이</x:v>
      </x:c>
      <x:c r="K11" s="40" t="str">
        <x:v>매쓰핏 / 수학한입</x:v>
      </x:c>
    </x:row>
    <x:row r="12" ht="15" hidden="0" customHeight="1">
      <x:c r="A12" s="40" t="n">
        <x:v>7</x:v>
      </x:c>
      <x:c r="B12" s="40" t="str">
        <x:v>보고, 말하고, 풀며 기억하는 수학.</x:v>
      </x:c>
      <x:c r="C12" s="44" t="n">
        <x:v>5</x:v>
      </x:c>
      <x:c r="D12" s="44" t="n">
        <x:v>4</x:v>
      </x:c>
      <x:c r="E12" s="44" t="n">
        <x:v>4</x:v>
      </x:c>
      <x:c r="F12" s="44" t="n">
        <x:v>5</x:v>
      </x:c>
      <x:c r="G12" s="44" t="n">
        <x:v>5</x:v>
      </x:c>
      <x:c r="H12" s="44" t="n">
        <x:v>5</x:v>
      </x:c>
      <x:c r="I12" s="58" t="n">
        <x:f>SUMPRODUCT(C12:H12,$C$4:$H$4)*20</x:f>
        <x:v>93</x:v>
      </x:c>
      <x:c r="J12" s="40" t="str">
        <x:v>다감각 학습</x:v>
      </x:c>
      <x:c r="K12" s="40" t="str">
        <x:v>수학플레이북 / 매쓰토리</x:v>
      </x:c>
    </x:row>
    <x:row r="13" ht="15" hidden="0" customHeight="1">
      <x:c r="A13" s="40" t="n">
        <x:v>8</x:v>
      </x:c>
      <x:c r="B13" s="40" t="str">
        <x:v>공식은 착, 자신감은 쑥.</x:v>
      </x:c>
      <x:c r="C13" s="44" t="n">
        <x:v>4</x:v>
      </x:c>
      <x:c r="D13" s="44" t="n">
        <x:v>5</x:v>
      </x:c>
      <x:c r="E13" s="44" t="n">
        <x:v>5</x:v>
      </x:c>
      <x:c r="F13" s="44" t="n">
        <x:v>4</x:v>
      </x:c>
      <x:c r="G13" s="44" t="n">
        <x:v>4</x:v>
      </x:c>
      <x:c r="H13" s="44" t="n">
        <x:v>4</x:v>
      </x:c>
      <x:c r="I13" s="58" t="n">
        <x:f>SUMPRODUCT(C13:H13,$C$4:$H$4)*20</x:f>
        <x:v>87</x:v>
      </x:c>
      <x:c r="J13" s="40" t="str">
        <x:v>기억·자신감</x:v>
      </x:c>
      <x:c r="K13" s="40" t="str">
        <x:v>공식착 / 수학쏙</x:v>
      </x:c>
    </x:row>
    <x:row r="14" ht="15" hidden="0" customHeight="1">
      <x:c r="A14" s="40" t="n">
        <x:v>9</x:v>
      </x:c>
      <x:c r="B14" s="40" t="str">
        <x:v>딱 이해되고, 딱 기억되는 수학.</x:v>
      </x:c>
      <x:c r="C14" s="44" t="n">
        <x:v>5</x:v>
      </x:c>
      <x:c r="D14" s="44" t="n">
        <x:v>5</x:v>
      </x:c>
      <x:c r="E14" s="44" t="n">
        <x:v>5</x:v>
      </x:c>
      <x:c r="F14" s="44" t="n">
        <x:v>5</x:v>
      </x:c>
      <x:c r="G14" s="44" t="n">
        <x:v>4</x:v>
      </x:c>
      <x:c r="H14" s="44" t="n">
        <x:v>5</x:v>
      </x:c>
      <x:c r="I14" s="58" t="n">
        <x:f>SUMPRODUCT(C14:H14,$C$4:$H$4)*20</x:f>
        <x:v>97</x:v>
      </x:c>
      <x:c r="J14" s="40" t="str">
        <x:v>직관·기억</x:v>
      </x:c>
      <x:c r="K14" s="40" t="str">
        <x:v>딱수학</x:v>
      </x:c>
    </x:row>
    <x:row r="15" ht="15" hidden="0" customHeight="1">
      <x:c r="A15" s="40" t="n">
        <x:v>10</x:v>
      </x:c>
      <x:c r="B15" s="40" t="str">
        <x:v>한입씩 이해하고, 오래 기억하다.</x:v>
      </x:c>
      <x:c r="C15" s="44" t="n">
        <x:v>5</x:v>
      </x:c>
      <x:c r="D15" s="44" t="n">
        <x:v>5</x:v>
      </x:c>
      <x:c r="E15" s="44" t="n">
        <x:v>5</x:v>
      </x:c>
      <x:c r="F15" s="44" t="n">
        <x:v>5</x:v>
      </x:c>
      <x:c r="G15" s="44" t="n">
        <x:v>4</x:v>
      </x:c>
      <x:c r="H15" s="44" t="n">
        <x:v>4</x:v>
      </x:c>
      <x:c r="I15" s="58" t="n">
        <x:f>SUMPRODUCT(C15:H15,$C$4:$H$4)*20</x:f>
        <x:v>93.99999999999999</x:v>
      </x:c>
      <x:c r="J15" s="40" t="str">
        <x:v>작은 학습</x:v>
      </x:c>
      <x:c r="K15" s="40" t="str">
        <x:v>수학한입</x:v>
      </x:c>
    </x:row>
    <x:row r="16" ht="15" hidden="0" customHeight="1">
      <x:c r="A16" s="40" t="n">
        <x:v>11</x:v>
      </x:c>
      <x:c r="B16" s="40" t="str">
        <x:v>수학의 규칙을 읽으면 공식이 보인다.</x:v>
      </x:c>
      <x:c r="C16" s="44" t="n">
        <x:v>4</x:v>
      </x:c>
      <x:c r="D16" s="44" t="n">
        <x:v>4</x:v>
      </x:c>
      <x:c r="E16" s="44" t="n">
        <x:v>3</x:v>
      </x:c>
      <x:c r="F16" s="44" t="n">
        <x:v>5</x:v>
      </x:c>
      <x:c r="G16" s="44" t="n">
        <x:v>5</x:v>
      </x:c>
      <x:c r="H16" s="44" t="n">
        <x:v>5</x:v>
      </x:c>
      <x:c r="I16" s="58" t="n">
        <x:f>SUMPRODUCT(C16:H16,$C$4:$H$4)*20</x:f>
        <x:v>86</x:v>
      </x:c>
      <x:c r="J16" s="40" t="str">
        <x:v>원리·구조</x:v>
      </x:c>
      <x:c r="K16" s="40" t="str">
        <x:v>매쓰코드</x:v>
      </x:c>
    </x:row>
    <x:row r="17" ht="15" hidden="0" customHeight="1">
      <x:c r="A17" s="40" t="n">
        <x:v>12</x:v>
      </x:c>
      <x:c r="B17" s="40" t="str">
        <x:v>매일 짧게, 필요할 때 바로.</x:v>
      </x:c>
      <x:c r="C17" s="44" t="n">
        <x:v>4</x:v>
      </x:c>
      <x:c r="D17" s="44" t="n">
        <x:v>5</x:v>
      </x:c>
      <x:c r="E17" s="44" t="n">
        <x:v>4</x:v>
      </x:c>
      <x:c r="F17" s="44" t="n">
        <x:v>5</x:v>
      </x:c>
      <x:c r="G17" s="44" t="n">
        <x:v>4</x:v>
      </x:c>
      <x:c r="H17" s="44" t="n">
        <x:v>5</x:v>
      </x:c>
      <x:c r="I17" s="58" t="n">
        <x:f>SUMPRODUCT(C17:H17,$C$4:$H$4)*20</x:f>
        <x:v>90</x:v>
      </x:c>
      <x:c r="J17" s="40" t="str">
        <x:v>루틴·적용</x:v>
      </x:c>
      <x:c r="K17" s="40" t="str">
        <x:v>수학루틴</x:v>
      </x:c>
    </x:row>
    <x:row r="18" ht="15" hidden="0" customHeight="1">
      <x:c r="A18" s="40" t="n">
        <x:v>13</x:v>
      </x:c>
      <x:c r="B18" s="40" t="str">
        <x:v>떠오르는 공식, 풀리는 수학.</x:v>
      </x:c>
      <x:c r="C18" s="44" t="n">
        <x:v>5</x:v>
      </x:c>
      <x:c r="D18" s="44" t="n">
        <x:v>5</x:v>
      </x:c>
      <x:c r="E18" s="44" t="n">
        <x:v>5</x:v>
      </x:c>
      <x:c r="F18" s="44" t="n">
        <x:v>4</x:v>
      </x:c>
      <x:c r="G18" s="44" t="n">
        <x:v>5</x:v>
      </x:c>
      <x:c r="H18" s="44" t="n">
        <x:v>5</x:v>
      </x:c>
      <x:c r="I18" s="58" t="n">
        <x:f>SUMPRODUCT(C18:H18,$C$4:$H$4)*20</x:f>
        <x:v>97</x:v>
      </x:c>
      <x:c r="J18" s="40" t="str">
        <x:v>회상·해결</x:v>
      </x:c>
      <x:c r="K18" s="40" t="str">
        <x:v>수학리콜 / 매쓰팝</x:v>
      </x:c>
    </x:row>
    <x:row r="19" ht="15" hidden="0" customHeight="1">
      <x:c r="A19" s="40" t="n">
        <x:v>14</x:v>
      </x:c>
      <x:c r="B19" s="40" t="str">
        <x:v>수학 감각을 켜는 가장 쉬운 방법.</x:v>
      </x:c>
      <x:c r="C19" s="44" t="n">
        <x:v>4</x:v>
      </x:c>
      <x:c r="D19" s="44" t="n">
        <x:v>5</x:v>
      </x:c>
      <x:c r="E19" s="44" t="n">
        <x:v>4</x:v>
      </x:c>
      <x:c r="F19" s="44" t="n">
        <x:v>5</x:v>
      </x:c>
      <x:c r="G19" s="44" t="n">
        <x:v>4</x:v>
      </x:c>
      <x:c r="H19" s="44" t="n">
        <x:v>5</x:v>
      </x:c>
      <x:c r="I19" s="58" t="n">
        <x:f>SUMPRODUCT(C19:H19,$C$4:$H$4)*20</x:f>
        <x:v>90</x:v>
      </x:c>
      <x:c r="J19" s="40" t="str">
        <x:v>전환·쉬움</x:v>
      </x:c>
      <x:c r="K19" s="40" t="str">
        <x:v>수학스위치</x:v>
      </x:c>
    </x:row>
    <x:row r="20" ht="15" hidden="0" customHeight="1">
      <x:c r="A20" s="40" t="n">
        <x:v>15</x:v>
      </x:c>
      <x:c r="B20" s="40" t="str">
        <x:v>이야기로 이해하고, 공식으로 해결하다.</x:v>
      </x:c>
      <x:c r="C20" s="44" t="n">
        <x:v>5</x:v>
      </x:c>
      <x:c r="D20" s="44" t="n">
        <x:v>4</x:v>
      </x:c>
      <x:c r="E20" s="44" t="n">
        <x:v>5</x:v>
      </x:c>
      <x:c r="F20" s="44" t="n">
        <x:v>5</x:v>
      </x:c>
      <x:c r="G20" s="44" t="n">
        <x:v>5</x:v>
      </x:c>
      <x:c r="H20" s="44" t="n">
        <x:v>5</x:v>
      </x:c>
      <x:c r="I20" s="58" t="n">
        <x:f>SUMPRODUCT(C20:H20,$C$4:$H$4)*20</x:f>
        <x:v>96</x:v>
      </x:c>
      <x:c r="J20" s="40" t="str">
        <x:v>스토리·적용</x:v>
      </x:c>
      <x:c r="K20" s="40" t="str">
        <x:v>매쓰토리</x:v>
      </x:c>
    </x:row>
    <x:row r="21" ht="15" hidden="0" customHeight="1">
      <x:c r="A21" s="40" t="n">
        <x:v>16</x:v>
      </x:c>
      <x:c r="B21" s="40" t="str">
        <x:v>공식과 수식, 이제는 외우지 말고 떠올리자.</x:v>
      </x:c>
      <x:c r="C21" s="44" t="n">
        <x:v>5</x:v>
      </x:c>
      <x:c r="D21" s="44" t="n">
        <x:v>4</x:v>
      </x:c>
      <x:c r="E21" s="44" t="n">
        <x:v>4</x:v>
      </x:c>
      <x:c r="F21" s="44" t="n">
        <x:v>5</x:v>
      </x:c>
      <x:c r="G21" s="44" t="n">
        <x:v>5</x:v>
      </x:c>
      <x:c r="H21" s="44" t="n">
        <x:v>5</x:v>
      </x:c>
      <x:c r="I21" s="58" t="n">
        <x:f>SUMPRODUCT(C21:H21,$C$4:$H$4)*20</x:f>
        <x:v>93</x:v>
      </x:c>
      <x:c r="J21" s="40" t="str">
        <x:v>회상 중심</x:v>
      </x:c>
      <x:c r="K21" s="40" t="str">
        <x:v>수학리콜</x:v>
      </x:c>
    </x:row>
    <x:row r="22"/>
    <x:row r="23" ht="15" hidden="0" customHeight="1">
      <x:c r="A23" s="23" t="str">
        <x:v>추천 조합 초안</x:v>
      </x:c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</x:row>
    <x:row r="24"/>
    <x:row r="25" ht="24" hidden="0" customHeight="1">
      <x:c r="A25" s="32" t="str">
        <x:v>브랜드명</x:v>
      </x:c>
      <x:c r="B25" s="32" t="str">
        <x:v>슬로건</x:v>
      </x:c>
      <x:c r="C25" s="32" t="str">
        <x:v>포지션</x:v>
      </x:c>
      <x:c r="D25" s="32" t="str">
        <x:v>추천도</x:v>
      </x:c>
      <x:c r="E25" s="32" t="str">
        <x:v>메모</x:v>
      </x:c>
    </x:row>
    <x:row r="26" ht="36" hidden="0" customHeight="1">
      <x:c r="A26" s="121" t="str">
        <x:v>수학착착</x:v>
      </x:c>
      <x:c r="B26" s="121" t="str">
        <x:v>수학이 착착, 공식이 척척.</x:v>
      </x:c>
      <x:c r="C26" s="120" t="str">
        <x:v>메인 브랜드 슬로건</x:v>
      </x:c>
      <x:c r="D26" s="120" t="n">
        <x:v>5</x:v>
      </x:c>
      <x:c r="E26" s="120" t="str">
        <x:v>브랜드명과 공식 학습의 핵심을 가장 쉽게 기억시키는 조합</x:v>
      </x:c>
    </x:row>
    <x:row r="27" ht="48" hidden="0" customHeight="1">
      <x:c r="A27" s="40" t="str">
        <x:v>매쓰핏</x:v>
      </x:c>
      <x:c r="B27" s="40" t="str">
        <x:v>어려운 수학을 아이의 언어로.</x:v>
      </x:c>
      <x:c r="C27" s="40" t="str">
        <x:v>사람 중심·확장형</x:v>
      </x:c>
      <x:c r="D27" s="40" t="n">
        <x:v>5</x:v>
      </x:c>
      <x:c r="E27" s="40" t="str">
        <x:v>사용자 철학과 가장 직접적으로 연결</x:v>
      </x:c>
    </x:row>
    <x:row r="28" ht="48" hidden="0" customHeight="1">
      <x:c r="A28" s="40" t="str">
        <x:v>수학리콜</x:v>
      </x:c>
      <x:c r="B28" s="40" t="str">
        <x:v>배운 공식을 스스로 꺼내 쓰는 힘.</x:v>
      </x:c>
      <x:c r="C28" s="40" t="str">
        <x:v>학습 원리 차별화</x:v>
      </x:c>
      <x:c r="D28" s="40" t="n">
        <x:v>5</x:v>
      </x:c>
      <x:c r="E28" s="40" t="str">
        <x:v>회상 학습을 브랜드 자산으로 만들 수 있음</x:v>
      </x:c>
    </x:row>
    <x:row r="29" ht="36" hidden="0" customHeight="1">
      <x:c r="A29" s="40" t="str">
        <x:v>공식놀이터</x:v>
      </x:c>
      <x:c r="B29" s="40" t="str">
        <x:v>공식이 놀이가 되면 수학이 쉬워진다.</x:v>
      </x:c>
      <x:c r="C29" s="40" t="str">
        <x:v>아이 친화형</x:v>
      </x:c>
      <x:c r="D29" s="40" t="n">
        <x:v>4</x:v>
      </x:c>
      <x:c r="E29" s="40" t="str">
        <x:v>비주얼·캐릭터 확장에 유리</x:v>
      </x:c>
    </x:row>
    <x:row r="30" ht="48" hidden="0" customHeight="1">
      <x:c r="A30" s="40" t="str">
        <x:v>매쓰토리</x:v>
      </x:c>
      <x:c r="B30" s="40" t="str">
        <x:v>이야기로 이해하고, 공식으로 해결하다.</x:v>
      </x:c>
      <x:c r="C30" s="40" t="str">
        <x:v>콘텐츠형·스토리형</x:v>
      </x:c>
      <x:c r="D30" s="40" t="n">
        <x:v>4</x:v>
      </x:c>
      <x:c r="E30" s="40" t="str">
        <x:v>스토리 기반 콘텐츠가 실제 핵심일 때 적합</x:v>
      </x:c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K2"/>
    <x:mergeCell ref="A3:K3"/>
    <x:mergeCell ref="A4:B4"/>
    <x:mergeCell ref="A23:K23"/>
  </x:mergeCells>
  <x:conditionalFormatting sqref="I6:I21">
    <x:cfRule type="colorScale" priority="1">
      <x:colorScale>
        <x:cfvo type="min"/>
        <x:cfvo type="percentile" val="50"/>
        <x:cfvo type="max"/>
        <x:color rgb="FFF4CCCC"/>
        <x:color rgb="FFFFF4CC"/>
        <x:color rgb="FFE2F0D9"/>
      </x:colorScale>
    </x:cfRule>
  </x:conditionalFormatting>
  <x:conditionalFormatting sqref="D26:D30">
    <x:cfRule type="dataBar" priority="2">
      <x:dataBar>
        <x:cfvo type="min"/>
        <x:cfvo type="max"/>
        <x:color rgb="FF2F6690"/>
      </x:dataBar>
      <x:extLst>
        <x:ext xmlns:x14="http://schemas.microsoft.com/office/spreadsheetml/2009/9/main" uri="{B025F937-C7B1-47D3-B67F-A62EFF666E3E}">
          <x14:id>{41B3F110-1711-4C58-FED1-C9302B89808E}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1B3F110-1711-4C58-FED1-C9302B89808E}">
            <x14:dataBar gradient="1">
              <x14:cfvo type="min"/>
              <x14:cfvo type="max"/>
              <x14:fillColor rgb="FF2F6690"/>
            </x14:dataBar>
          </x14:cfRule>
          <xm:sqref>D26:D30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38" hidden="0" customWidth="1"/>
    <x:col min="4" max="4" width="34" hidden="0" customWidth="1"/>
    <x:col min="5" max="5" width="13" hidden="0" customWidth="1"/>
    <x:col min="6" max="6" width="14" hidden="0" customWidth="1"/>
    <x:col min="7" max="7" width="12" hidden="0" customWidth="1"/>
    <x:col min="8" max="8" width="24" hidden="0" customWidth="1"/>
  </x:cols>
  <x:sheetData>
    <x:row r="1" ht="21.600000381469727" hidden="0" customHeight="1">
      <x:c r="A1" s="129" t="str">
        <x:v>수학착착 · 브랜드 아이덴티티 1차 확정안</x:v>
      </x:c>
      <x:c r="B1" s="129"/>
      <x:c r="C1" s="129"/>
      <x:c r="D1" s="129"/>
      <x:c r="E1" s="129"/>
      <x:c r="F1" s="129"/>
      <x:c r="G1" s="129"/>
      <x:c r="H1" s="129"/>
    </x:row>
    <x:row r="2" ht="21.600000381469727" hidden="0" customHeight="1">
      <x:c r="A2" s="129"/>
      <x:c r="B2" s="129"/>
      <x:c r="C2" s="129"/>
      <x:c r="D2" s="129"/>
      <x:c r="E2" s="129"/>
      <x:c r="F2" s="129"/>
      <x:c r="G2" s="129"/>
      <x:c r="H2" s="129"/>
    </x:row>
    <x:row r="3" ht="79.19999694824219" hidden="0" customHeight="1">
      <x:c r="A3" s="14" t="str">
        <x:v>브랜드명과 슬로건을 실제 값으로 확정한 시트입니다. 법적·채널 사용 전 상표·도메인 선행검증이 필요합니다.</x:v>
      </x:c>
      <x:c r="B3" s="14"/>
      <x:c r="C3" s="14"/>
      <x:c r="D3" s="14"/>
      <x:c r="E3" s="14"/>
      <x:c r="F3" s="14"/>
      <x:c r="G3" s="14"/>
      <x:c r="H3" s="14"/>
    </x:row>
    <x:row r="4">
      <x:c r="A4" s="130"/>
      <x:c r="B4" s="130"/>
      <x:c r="C4" s="130"/>
      <x:c r="D4" s="130"/>
      <x:c r="E4" s="130"/>
      <x:c r="F4" s="130"/>
      <x:c r="G4" s="130"/>
      <x:c r="H4" s="130"/>
    </x:row>
    <x:row r="5" ht="15" hidden="0" customHeight="1">
      <x:c r="A5" s="131" t="str">
        <x:v>A. 최종 결정 입력</x:v>
      </x:c>
      <x:c r="B5" s="131"/>
      <x:c r="C5" s="131"/>
      <x:c r="D5" s="131"/>
      <x:c r="E5" s="131"/>
      <x:c r="F5" s="131"/>
      <x:c r="G5" s="131"/>
      <x:c r="H5" s="131"/>
    </x:row>
    <x:row r="6">
      <x:c r="A6" s="130"/>
      <x:c r="B6" s="130"/>
      <x:c r="C6" s="130"/>
      <x:c r="D6" s="130"/>
      <x:c r="E6" s="130"/>
      <x:c r="F6" s="130"/>
      <x:c r="G6" s="130"/>
      <x:c r="H6" s="130"/>
    </x:row>
    <x:row r="7" ht="15" hidden="0" customHeight="1">
      <x:c r="A7" s="32" t="str">
        <x:v>항목</x:v>
      </x:c>
      <x:c r="B7" s="32" t="str">
        <x:v>최종 선택</x:v>
      </x:c>
      <x:c r="C7" s="32" t="str">
        <x:v>선택 이유</x:v>
      </x:c>
      <x:c r="D7" s="32" t="str">
        <x:v>보류 후보</x:v>
      </x:c>
      <x:c r="E7" s="32" t="str">
        <x:v>결정 상태</x:v>
      </x:c>
      <x:c r="F7" s="32" t="str">
        <x:v>결정일</x:v>
      </x:c>
      <x:c r="G7" s="32" t="str">
        <x:v>담당</x:v>
      </x:c>
      <x:c r="H7" s="32" t="str">
        <x:v>메모</x:v>
      </x:c>
    </x:row>
    <x:row r="8" ht="15" hidden="0" customHeight="1">
      <x:c r="A8" s="40" t="str">
        <x:v>창업자 한 문장 정의</x:v>
      </x:c>
      <x:c r="B8" s="122" t="str">
        <x:v>수학이 어려운 아이를 탓하지 않고, 아이에게 맞는 설명과 반복으로 ‘스스로 풀 수 있는 힘’을 만드는 실전형 학습 프로듀서</x:v>
      </x:c>
      <x:c r="C8" s="44" t="str">
        <x:v>사용자의 사람 중심 문제해결 방식과 자녀의 실제 학습 문제에서 출발</x:v>
      </x:c>
      <x:c r="D8" s="44"/>
      <x:c r="E8" s="125" t="str">
        <x:v>1차 확정</x:v>
      </x:c>
      <x:c r="F8" s="84" t="n">
        <x:v>46234</x:v>
      </x:c>
      <x:c r="G8" s="40" t="str">
        <x:v>사용자</x:v>
      </x:c>
      <x:c r="H8" s="40" t="str">
        <x:v>브랜드의 출발점</x:v>
      </x:c>
    </x:row>
    <x:row r="9" ht="15" hidden="0" customHeight="1">
      <x:c r="A9" s="40" t="str">
        <x:v>브랜드명</x:v>
      </x:c>
      <x:c r="B9" s="122" t="str">
        <x:v>수학착착</x:v>
      </x:c>
      <x:c r="C9" s="44" t="str">
        <x:v>아이도 쉽게 말하고 기억할 수 있으며, 이해·공식 암기·문제풀이가 단계적으로 붙는 느낌을 전달</x:v>
      </x:c>
      <x:c r="D9" s="44" t="str">
        <x:v>수학한입 · 매쓰핏</x:v>
      </x:c>
      <x:c r="E9" s="125" t="str">
        <x:v>1차 확정</x:v>
      </x:c>
      <x:c r="F9" s="84" t="n">
        <x:v>46234</x:v>
      </x:c>
      <x:c r="G9" s="40" t="str">
        <x:v>사용자</x:v>
      </x:c>
      <x:c r="H9" s="40" t="str">
        <x:v>상표·도메인 검증 전</x:v>
      </x:c>
    </x:row>
    <x:row r="10" ht="15" hidden="0" customHeight="1">
      <x:c r="A10" s="40" t="str">
        <x:v>영문/보조 표기</x:v>
      </x:c>
      <x:c r="B10" s="122" t="str">
        <x:v>MATH CHAKCHAK</x:v>
      </x:c>
      <x:c r="C10" s="44" t="str">
        <x:v>국문 브랜드의 소리와 리듬을 유지하고 해외 표기에도 활용 가능</x:v>
      </x:c>
      <x:c r="D10" s="44" t="str">
        <x:v>MATH FIT</x:v>
      </x:c>
      <x:c r="E10" s="125" t="str">
        <x:v>1차 확정</x:v>
      </x:c>
      <x:c r="F10" s="84" t="n">
        <x:v>46234</x:v>
      </x:c>
      <x:c r="G10" s="40" t="str">
        <x:v>사용자</x:v>
      </x:c>
      <x:c r="H10" s="40" t="str">
        <x:v>영문 로고 제작 시 가독성 검토</x:v>
      </x:c>
    </x:row>
    <x:row r="11" ht="15" hidden="0" customHeight="1">
      <x:c r="A11" s="40" t="str">
        <x:v>슬로건</x:v>
      </x:c>
      <x:c r="B11" s="122" t="str">
        <x:v>수학이 착착, 공식이 척척.</x:v>
      </x:c>
      <x:c r="C11" s="44" t="str">
        <x:v>브랜드명을 반복해 기억시키면서 재미·쉬움·공식 학습의 핵심을 한 번에 전달</x:v>
      </x:c>
      <x:c r="D11" s="44" t="str">
        <x:v>공식은 쉽게, 기억은 오래.</x:v>
      </x:c>
      <x:c r="E11" s="125" t="str">
        <x:v>1차 확정</x:v>
      </x:c>
      <x:c r="F11" s="84" t="n">
        <x:v>46234</x:v>
      </x:c>
      <x:c r="G11" s="40" t="str">
        <x:v>사용자</x:v>
      </x:c>
      <x:c r="H11" s="40" t="str">
        <x:v>메인 슬로건</x:v>
      </x:c>
    </x:row>
    <x:row r="12" ht="15" hidden="0" customHeight="1">
      <x:c r="A12" s="40" t="str">
        <x:v>핵심 약속</x:v>
      </x:c>
      <x:c r="B12" s="122" t="str">
        <x:v>쉽게 이해하고, 오래 기억하고, 문제는 스스로.</x:v>
      </x:c>
      <x:c r="C12" s="44" t="str">
        <x:v>이해·기억·적용의 제품 성과를 부모와 아이가 모두 이해할 수 있게 표현</x:v>
      </x:c>
      <x:c r="D12" s="44"/>
      <x:c r="E12" s="125" t="str">
        <x:v>1차 확정</x:v>
      </x:c>
      <x:c r="F12" s="84" t="n">
        <x:v>46234</x:v>
      </x:c>
      <x:c r="G12" s="40" t="str">
        <x:v>사용자</x:v>
      </x:c>
      <x:c r="H12" s="40" t="str">
        <x:v>서브 슬로건/브랜드 약속</x:v>
      </x:c>
    </x:row>
    <x:row r="13" ht="15" hidden="0" customHeight="1">
      <x:c r="A13" s="40" t="str">
        <x:v>핵심 학습 원리</x:v>
      </x:c>
      <x:c r="B13" s="122" t="str">
        <x:v>이해 → 연결 → 반복 → 회상 → 적용</x:v>
      </x:c>
      <x:c r="C13" s="44" t="str">
        <x:v>억지 암기가 아니라 의미 이해와 반복 회상을 통해 문제 적용으로 연결</x:v>
      </x:c>
      <x:c r="D13" s="44"/>
      <x:c r="E13" s="125" t="str">
        <x:v>1차 확정</x:v>
      </x:c>
      <x:c r="F13" s="84" t="n">
        <x:v>46234</x:v>
      </x:c>
      <x:c r="G13" s="40" t="str">
        <x:v>사용자</x:v>
      </x:c>
      <x:c r="H13" s="40"/>
    </x:row>
    <x:row r="14" ht="15" hidden="0" customHeight="1">
      <x:c r="A14" s="40" t="str">
        <x:v>브랜드 성격</x:v>
      </x:c>
      <x:c r="B14" s="122" t="str">
        <x:v>정확함 · 친근함 · 성취감 · 재미</x:v>
      </x:c>
      <x:c r="C14" s="44" t="str">
        <x:v>부모에게는 신뢰를, 아이에게는 부담 없는 도전 경험을 제공</x:v>
      </x:c>
      <x:c r="D14" s="44"/>
      <x:c r="E14" s="125" t="str">
        <x:v>1차 확정</x:v>
      </x:c>
      <x:c r="F14" s="84" t="n">
        <x:v>46234</x:v>
      </x:c>
      <x:c r="G14" s="40" t="str">
        <x:v>사용자</x:v>
      </x:c>
      <x:c r="H14" s="40"/>
    </x:row>
    <x:row r="15">
      <x:c r="A15" s="130"/>
      <x:c r="B15" s="130"/>
      <x:c r="C15" s="130"/>
      <x:c r="D15" s="130"/>
      <x:c r="E15" s="130"/>
      <x:c r="F15" s="130"/>
      <x:c r="G15" s="130"/>
      <x:c r="H15" s="130"/>
    </x:row>
    <x:row r="16" ht="15" hidden="0" customHeight="1">
      <x:c r="A16" s="131" t="str">
        <x:v>B. 랜딩페이지 히어로 문구 초안</x:v>
      </x:c>
      <x:c r="B16" s="131"/>
      <x:c r="C16" s="131"/>
      <x:c r="D16" s="131"/>
      <x:c r="E16" s="131"/>
      <x:c r="F16" s="131"/>
      <x:c r="G16" s="131"/>
      <x:c r="H16" s="131"/>
    </x:row>
    <x:row r="17">
      <x:c r="A17" s="130"/>
      <x:c r="B17" s="130"/>
      <x:c r="C17" s="130"/>
      <x:c r="D17" s="130"/>
      <x:c r="E17" s="130"/>
      <x:c r="F17" s="130"/>
      <x:c r="G17" s="130"/>
      <x:c r="H17" s="130"/>
    </x:row>
    <x:row r="18" ht="15" hidden="0" customHeight="1">
      <x:c r="A18" s="32" t="str">
        <x:v>요소</x:v>
      </x:c>
      <x:c r="B18" s="32" t="str">
        <x:v>초안</x:v>
      </x:c>
      <x:c r="C18" s="32" t="str">
        <x:v>작성 원칙</x:v>
      </x:c>
      <x:c r="D18" s="32" t="str">
        <x:v>최종 입력</x:v>
      </x:c>
      <x:c r="E18" s="32" t="str">
        <x:v>상태</x:v>
      </x:c>
      <x:c r="F18" s="32" t="str">
        <x:v>테스트 질문</x:v>
      </x:c>
      <x:c r="G18" s="32" t="str">
        <x:v>대상</x:v>
      </x:c>
      <x:c r="H18" s="32" t="str">
        <x:v>메모</x:v>
      </x:c>
    </x:row>
    <x:row r="19" ht="15" hidden="0" customHeight="1">
      <x:c r="A19" s="40" t="str">
        <x:v>상단 라벨</x:v>
      </x:c>
      <x:c r="B19" s="40" t="str">
        <x:v>공식과 수식을 재미있고 쉽게 익히는 1:1 AI 수학 튜터</x:v>
      </x:c>
      <x:c r="C19" s="40" t="str">
        <x:v>누구를 위한 무엇인지 즉시 표현</x:v>
      </x:c>
      <x:c r="D19" s="127" t="str">
        <x:v>공식과 수식을 재미있고 쉽게 익히는 1:1 AI 수학 튜터</x:v>
      </x:c>
      <x:c r="E19" s="125" t="str">
        <x:v>확정</x:v>
      </x:c>
      <x:c r="F19" s="40" t="str">
        <x:v>3초 안에 서비스 범위를 이해하는가?</x:v>
      </x:c>
      <x:c r="G19" s="40" t="str">
        <x:v>부모·아이</x:v>
      </x:c>
      <x:c r="H19" s="40"/>
    </x:row>
    <x:row r="20" ht="15" hidden="0" customHeight="1">
      <x:c r="A20" s="40" t="str">
        <x:v>메인 헤드라인</x:v>
      </x:c>
      <x:c r="B20" s="40" t="str">
        <x:v>수학이 착착, 공식이 척척.</x:v>
      </x:c>
      <x:c r="C20" s="40" t="str">
        <x:v>브랜드와 슬로건을 한 번에 각인</x:v>
      </x:c>
      <x:c r="D20" s="127" t="str">
        <x:v>수학이 착착, 공식이 척척.</x:v>
      </x:c>
      <x:c r="E20" s="125" t="str">
        <x:v>확정</x:v>
      </x:c>
      <x:c r="F20" s="40" t="str">
        <x:v>한 번 읽고 기억하는가?</x:v>
      </x:c>
      <x:c r="G20" s="40" t="str">
        <x:v>부모·아이</x:v>
      </x:c>
      <x:c r="H20" s="40"/>
    </x:row>
    <x:row r="21" ht="24" hidden="0" customHeight="1">
      <x:c r="A21" s="40" t="str">
        <x:v>서브카피</x:v>
      </x:c>
      <x:c r="B21" s="40" t="str">
        <x:v>아이에게 맞춰 쉽게 설명하고, 공식과 수식을 오래 기억하게 하며, 문제에서 스스로 꺼내 쓰게 합니다.</x:v>
      </x:c>
      <x:c r="C21" s="40" t="str">
        <x:v>문제·방법·결과 연결</x:v>
      </x:c>
      <x:c r="D21" s="127" t="str">
        <x:v>아이에게 맞춰 쉽게 설명하고, 공식과 수식을 오래 기억하게 하며, 문제에서 스스로 꺼내 쓰게 합니다.</x:v>
      </x:c>
      <x:c r="E21" s="125" t="str">
        <x:v>확정</x:v>
      </x:c>
      <x:c r="F21" s="40" t="str">
        <x:v>구체적 변화가 보이는가?</x:v>
      </x:c>
      <x:c r="G21" s="40" t="str">
        <x:v>부모</x:v>
      </x:c>
      <x:c r="H21" s="40"/>
    </x:row>
    <x:row r="22" ht="15" hidden="0" customHeight="1">
      <x:c r="A22" s="40" t="str">
        <x:v>핵심 근거 1</x:v>
      </x:c>
      <x:c r="B22" s="40" t="str">
        <x:v>공식의 뜻과 만들어지는 원리를 먼저 이해합니다.</x:v>
      </x:c>
      <x:c r="C22" s="40" t="str">
        <x:v>학습 원리</x:v>
      </x:c>
      <x:c r="D22" s="127" t="str">
        <x:v>공식의 뜻과 만들어지는 원리를 먼저 이해합니다.</x:v>
      </x:c>
      <x:c r="E22" s="125" t="str">
        <x:v>확정</x:v>
      </x:c>
      <x:c r="F22" s="40" t="str">
        <x:v>왜 다른지 설명되는가?</x:v>
      </x:c>
      <x:c r="G22" s="40" t="str">
        <x:v>부모</x:v>
      </x:c>
      <x:c r="H22" s="40"/>
    </x:row>
    <x:row r="23" ht="15" hidden="0" customHeight="1">
      <x:c r="A23" s="40" t="str">
        <x:v>핵심 근거 2</x:v>
      </x:c>
      <x:c r="B23" s="40" t="str">
        <x:v>그림·패턴·말하기로 여러 기억 고리를 만듭니다.</x:v>
      </x:c>
      <x:c r="C23" s="40" t="str">
        <x:v>방법의 구체성</x:v>
      </x:c>
      <x:c r="D23" s="127" t="str">
        <x:v>그림·패턴·말하기로 여러 기억 고리를 만듭니다.</x:v>
      </x:c>
      <x:c r="E23" s="125" t="str">
        <x:v>확정</x:v>
      </x:c>
      <x:c r="F23" s="40" t="str">
        <x:v>아이도 따라 할 수 있는가?</x:v>
      </x:c>
      <x:c r="G23" s="40" t="str">
        <x:v>부모·아이</x:v>
      </x:c>
      <x:c r="H23" s="40"/>
    </x:row>
    <x:row r="24" ht="15" hidden="0" customHeight="1">
      <x:c r="A24" s="40" t="str">
        <x:v>핵심 근거 3</x:v>
      </x:c>
      <x:c r="B24" s="40" t="str">
        <x:v>짧은 회상 반복으로 필요할 때 바로 떠올립니다.</x:v>
      </x:c>
      <x:c r="C24" s="40" t="str">
        <x:v>측정 가능한 결과</x:v>
      </x:c>
      <x:c r="D24" s="127" t="str">
        <x:v>짧은 회상 반복으로 필요할 때 바로 떠올립니다.</x:v>
      </x:c>
      <x:c r="E24" s="125" t="str">
        <x:v>확정</x:v>
      </x:c>
      <x:c r="F24" s="40" t="str">
        <x:v>체험에서 확인 가능한가?</x:v>
      </x:c>
      <x:c r="G24" s="40" t="str">
        <x:v>부모</x:v>
      </x:c>
      <x:c r="H24" s="40"/>
    </x:row>
    <x:row r="25" ht="15" hidden="0" customHeight="1">
      <x:c r="A25" s="40" t="str">
        <x:v>주 CTA</x:v>
      </x:c>
      <x:c r="B25" s="40" t="str">
        <x:v>무료 학습 진단 시작하기</x:v>
      </x:c>
      <x:c r="C25" s="40" t="str">
        <x:v>첫 행동의 부담 최소화</x:v>
      </x:c>
      <x:c r="D25" s="127" t="str">
        <x:v>무료 학습 진단 시작하기</x:v>
      </x:c>
      <x:c r="E25" s="125" t="str">
        <x:v>확정</x:v>
      </x:c>
      <x:c r="F25" s="40" t="str">
        <x:v>클릭 후 기대가 일치하는가?</x:v>
      </x:c>
      <x:c r="G25" s="40" t="str">
        <x:v>부모</x:v>
      </x:c>
      <x:c r="H25" s="40"/>
    </x:row>
    <x:row r="26" ht="15" hidden="0" customHeight="1">
      <x:c r="A26" s="40" t="str">
        <x:v>보조 CTA</x:v>
      </x:c>
      <x:c r="B26" s="40" t="str">
        <x:v>수학착착 학습법 보기</x:v>
      </x:c>
      <x:c r="C26" s="40" t="str">
        <x:v>결제 전 신뢰 확보</x:v>
      </x:c>
      <x:c r="D26" s="127" t="str">
        <x:v>수학착착 학습법 보기</x:v>
      </x:c>
      <x:c r="E26" s="125" t="str">
        <x:v>확정</x:v>
      </x:c>
      <x:c r="F26" s="40" t="str">
        <x:v>불안 요소를 줄이는가?</x:v>
      </x:c>
      <x:c r="G26" s="40" t="str">
        <x:v>부모</x:v>
      </x:c>
      <x:c r="H26" s="40"/>
    </x:row>
    <x:row r="27">
      <x:c r="A27" s="130"/>
      <x:c r="B27" s="130"/>
      <x:c r="C27" s="130"/>
      <x:c r="D27" s="130"/>
      <x:c r="E27" s="130"/>
      <x:c r="F27" s="130"/>
      <x:c r="G27" s="130"/>
      <x:c r="H27" s="130"/>
    </x:row>
    <x:row r="28" ht="15" hidden="0" customHeight="1">
      <x:c r="A28" s="131" t="str">
        <x:v>C. 출시 전 필수 검증</x:v>
      </x:c>
      <x:c r="B28" s="131"/>
      <x:c r="C28" s="131"/>
      <x:c r="D28" s="131"/>
      <x:c r="E28" s="131"/>
      <x:c r="F28" s="131"/>
      <x:c r="G28" s="131"/>
      <x:c r="H28" s="131"/>
    </x:row>
    <x:row r="29">
      <x:c r="A29" s="130"/>
      <x:c r="B29" s="130"/>
      <x:c r="C29" s="130"/>
      <x:c r="D29" s="130"/>
      <x:c r="E29" s="130"/>
      <x:c r="F29" s="130"/>
      <x:c r="G29" s="130"/>
      <x:c r="H29" s="130"/>
    </x:row>
    <x:row r="30" ht="15" hidden="0" customHeight="1">
      <x:c r="A30" s="32" t="str">
        <x:v>검증 항목</x:v>
      </x:c>
      <x:c r="B30" s="32" t="str">
        <x:v>결과</x:v>
      </x:c>
      <x:c r="C30" s="32" t="str">
        <x:v>담당</x:v>
      </x:c>
      <x:c r="D30" s="32" t="str">
        <x:v>기한</x:v>
      </x:c>
      <x:c r="E30" s="32" t="str">
        <x:v>상태</x:v>
      </x:c>
      <x:c r="F30" s="32" t="str">
        <x:v>판정 기준</x:v>
      </x:c>
      <x:c r="G30" s="32" t="str">
        <x:v>후속조치</x:v>
      </x:c>
      <x:c r="H30" s="32" t="str">
        <x:v>메모</x:v>
      </x:c>
    </x:row>
    <x:row r="31" ht="15" hidden="0" customHeight="1">
      <x:c r="A31" s="40" t="str">
        <x:v>브랜드명 상표 선행검색</x:v>
      </x:c>
      <x:c r="B31" s="44" t="str"/>
      <x:c r="C31" s="44" t="str"/>
      <x:c r="D31" s="44" t="str"/>
      <x:c r="E31" s="40" t="str">
        <x:v>미착수</x:v>
      </x:c>
      <x:c r="F31" s="40" t="str">
        <x:v>동일·유사 상표 위험 확인</x:v>
      </x:c>
      <x:c r="G31" s="40" t="str"/>
      <x:c r="H31" s="40" t="str"/>
    </x:row>
    <x:row r="32" ht="15" hidden="0" customHeight="1">
      <x:c r="A32" s="40" t="str">
        <x:v>도메인·SNS 계정 확인</x:v>
      </x:c>
      <x:c r="B32" s="44" t="str"/>
      <x:c r="C32" s="44" t="str"/>
      <x:c r="D32" s="44" t="str"/>
      <x:c r="E32" s="40" t="str">
        <x:v>미착수</x:v>
      </x:c>
      <x:c r="F32" s="40" t="str">
        <x:v>주요 표기 확보 가능</x:v>
      </x:c>
      <x:c r="G32" s="40" t="str"/>
      <x:c r="H32" s="40" t="str"/>
    </x:row>
    <x:row r="33" ht="15" hidden="0" customHeight="1">
      <x:c r="A33" s="40" t="str">
        <x:v>아이 발음·기억 테스트</x:v>
      </x:c>
      <x:c r="B33" s="44" t="str"/>
      <x:c r="C33" s="44" t="str"/>
      <x:c r="D33" s="44" t="str"/>
      <x:c r="E33" s="40" t="str">
        <x:v>미착수</x:v>
      </x:c>
      <x:c r="F33" s="40" t="str">
        <x:v>한 번 듣고 말하고 다음 날 기억</x:v>
      </x:c>
      <x:c r="G33" s="40" t="str"/>
      <x:c r="H33" s="40" t="str"/>
    </x:row>
    <x:row r="34" ht="15" hidden="0" customHeight="1">
      <x:c r="A34" s="40" t="str">
        <x:v>부모 신뢰도 테스트</x:v>
      </x:c>
      <x:c r="B34" s="44" t="str"/>
      <x:c r="C34" s="44" t="str"/>
      <x:c r="D34" s="44" t="str"/>
      <x:c r="E34" s="40" t="str">
        <x:v>미착수</x:v>
      </x:c>
      <x:c r="F34" s="40" t="str">
        <x:v>학습 효과와 차별점을 정확히 설명</x:v>
      </x:c>
      <x:c r="G34" s="40" t="str"/>
      <x:c r="H34" s="40" t="str"/>
    </x:row>
    <x:row r="35" ht="15" hidden="0" customHeight="1">
      <x:c r="A35" s="40" t="str">
        <x:v>히어로 3초 이해 테스트</x:v>
      </x:c>
      <x:c r="B35" s="44" t="str"/>
      <x:c r="C35" s="44" t="str"/>
      <x:c r="D35" s="44" t="str"/>
      <x:c r="E35" s="40" t="str">
        <x:v>미착수</x:v>
      </x:c>
      <x:c r="F35" s="40" t="str">
        <x:v>서비스 대상·효과·행동을 즉시 파악</x:v>
      </x:c>
      <x:c r="G35" s="40" t="str"/>
      <x:c r="H35" s="40" t="str"/>
    </x:row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H2"/>
    <x:mergeCell ref="A3:H3"/>
    <x:mergeCell ref="A5:H5"/>
    <x:mergeCell ref="A16:H16"/>
    <x:mergeCell ref="A28:H28"/>
  </x:mergeCells>
  <x:dataValidations count="5">
    <x:dataValidation type="list" sqref="E8:E14">
      <x:formula1>"검토,수정중,확정,보류"</x:formula1>
    </x:dataValidation>
    <x:dataValidation type="list" sqref="B9">
      <x:formula1>'03_브랜드명 후보'!$B$6:$B$23</x:formula1>
    </x:dataValidation>
    <x:dataValidation type="list" sqref="B11">
      <x:formula1>'04_슬로건 후보'!$B$6:$B$21</x:formula1>
    </x:dataValidation>
    <x:dataValidation type="list" sqref="E19:E26">
      <x:formula1>"검토,수정중,확정,보류"</x:formula1>
    </x:dataValidation>
    <x:dataValidation type="list" sqref="E31:E35">
      <x:formula1>"미착수,진행중,통과,보완,중단"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6" hidden="0" customWidth="1"/>
    <x:col min="3" max="3" width="38" hidden="0" customWidth="1"/>
    <x:col min="4" max="4" width="48" hidden="0" customWidth="1"/>
    <x:col min="5" max="5" width="10" hidden="0" customWidth="1"/>
    <x:col min="6" max="6" width="12" hidden="0" customWidth="1"/>
    <x:col min="7" max="7" width="28" hidden="0" customWidth="1"/>
  </x:cols>
  <x:sheetData>
    <x:row r="1" ht="21.600000381469727" hidden="0" customHeight="1">
      <x:c r="A1" s="5" t="str">
        <x:v>나를 더 정확하게 정의하는 인터뷰 질문</x:v>
      </x:c>
      <x:c r="B1" s="5"/>
      <x:c r="C1" s="5"/>
      <x:c r="D1" s="5"/>
      <x:c r="E1" s="5"/>
      <x:c r="F1" s="5"/>
      <x:c r="G1" s="5"/>
    </x:row>
    <x:row r="2" ht="21.600000381469727" hidden="0" customHeight="1">
      <x:c r="A2" s="5"/>
      <x:c r="B2" s="5"/>
      <x:c r="C2" s="5"/>
      <x:c r="D2" s="5"/>
      <x:c r="E2" s="5"/>
      <x:c r="F2" s="5"/>
      <x:c r="G2" s="5"/>
    </x:row>
    <x:row r="3" ht="264" hidden="0" customHeight="1">
      <x:c r="A3" s="14" t="str">
        <x:v>각 질문의 답을 적으면 01·02·05 시트의 최종 문장을 훨씬 정밀하게 만들 수 있습니다. 한 번에 모두 답하지 않아도 됩니다.</x:v>
      </x:c>
      <x:c r="B3" s="14"/>
      <x:c r="C3" s="14"/>
      <x:c r="D3" s="14"/>
      <x:c r="E3" s="14"/>
      <x:c r="F3" s="14"/>
      <x:c r="G3" s="14"/>
    </x:row>
    <x:row r="4"/>
    <x:row r="5" ht="15" hidden="0" customHeight="1">
      <x:c r="A5" s="32" t="str">
        <x:v>번호</x:v>
      </x:c>
      <x:c r="B5" s="32" t="str">
        <x:v>질문</x:v>
      </x:c>
      <x:c r="C5" s="32" t="str">
        <x:v>왜 필요한가</x:v>
      </x:c>
      <x:c r="D5" s="32" t="str">
        <x:v>내 답변</x:v>
      </x:c>
      <x:c r="E5" s="32" t="str">
        <x:v>우선순위</x:v>
      </x:c>
      <x:c r="F5" s="32" t="str">
        <x:v>상태</x:v>
      </x:c>
      <x:c r="G5" s="32" t="str">
        <x:v>메모</x:v>
      </x:c>
    </x:row>
    <x:row r="6" ht="15" hidden="0" customHeight="1">
      <x:c r="A6" s="40" t="n">
        <x:v>1</x:v>
      </x:c>
      <x:c r="B6" s="40" t="str">
        <x:v>이 프로젝트를 반드시 만들고 싶은 개인적 계기는 무엇인가?</x:v>
      </x:c>
      <x:c r="C6" s="40" t="str">
        <x:v>브랜드의 진짜 WHY를 찾기 위해</x:v>
      </x:c>
      <x:c r="D6" s="44" t="str"/>
      <x:c r="E6" s="40" t="n">
        <x:v>5</x:v>
      </x:c>
      <x:c r="F6" s="40" t="str">
        <x:v>미작성</x:v>
      </x:c>
      <x:c r="G6" s="40" t="str"/>
    </x:row>
    <x:row r="7" ht="15" hidden="0" customHeight="1">
      <x:c r="A7" s="40" t="n">
        <x:v>2</x:v>
      </x:c>
      <x:c r="B7" s="40" t="str">
        <x:v>아이에게 수학을 설명할 때 가장 답답했던 순간은 무엇인가?</x:v>
      </x:c>
      <x:c r="C7" s="40" t="str">
        <x:v>실제 고객 문제를 구체화하기 위해</x:v>
      </x:c>
      <x:c r="D7" s="44" t="str"/>
      <x:c r="E7" s="40" t="n">
        <x:v>5</x:v>
      </x:c>
      <x:c r="F7" s="40" t="str">
        <x:v>미작성</x:v>
      </x:c>
      <x:c r="G7" s="40" t="str"/>
    </x:row>
    <x:row r="8" ht="15" hidden="0" customHeight="1">
      <x:c r="A8" s="40" t="n">
        <x:v>3</x:v>
      </x:c>
      <x:c r="B8" s="40" t="str">
        <x:v>기존 학원·문제집·앱의 어떤 방식이 마음에 들지 않았는가?</x:v>
      </x:c>
      <x:c r="C8" s="40" t="str">
        <x:v>브랜드가 하지 않을 일을 정하기 위해</x:v>
      </x:c>
      <x:c r="D8" s="44" t="str"/>
      <x:c r="E8" s="40" t="n">
        <x:v>5</x:v>
      </x:c>
      <x:c r="F8" s="40" t="str">
        <x:v>미작성</x:v>
      </x:c>
      <x:c r="G8" s="40" t="str"/>
    </x:row>
    <x:row r="9" ht="15" hidden="0" customHeight="1">
      <x:c r="A9" s="40" t="n">
        <x:v>4</x:v>
      </x:c>
      <x:c r="B9" s="40" t="str">
        <x:v>아이가 공식을 외웠다고 판단하는 기준은 무엇인가?</x:v>
      </x:c>
      <x:c r="C9" s="40" t="str">
        <x:v>학습 성과를 측정 가능하게 만들기 위해</x:v>
      </x:c>
      <x:c r="D9" s="44" t="str"/>
      <x:c r="E9" s="40" t="n">
        <x:v>5</x:v>
      </x:c>
      <x:c r="F9" s="40" t="str">
        <x:v>미작성</x:v>
      </x:c>
      <x:c r="G9" s="40" t="str"/>
    </x:row>
    <x:row r="10" ht="15" hidden="0" customHeight="1">
      <x:c r="A10" s="40" t="n">
        <x:v>5</x:v>
      </x:c>
      <x:c r="B10" s="40" t="str">
        <x:v>재미와 정확성이 충돌할 때 무엇을 우선할 것인가?</x:v>
      </x:c>
      <x:c r="C10" s="40" t="str">
        <x:v>제품의 의사결정 기준을 정하기 위해</x:v>
      </x:c>
      <x:c r="D10" s="44" t="str"/>
      <x:c r="E10" s="40" t="n">
        <x:v>5</x:v>
      </x:c>
      <x:c r="F10" s="40" t="str">
        <x:v>미작성</x:v>
      </x:c>
      <x:c r="G10" s="40" t="str"/>
    </x:row>
    <x:row r="11" ht="24" hidden="0" customHeight="1">
      <x:c r="A11" s="40" t="n">
        <x:v>6</x:v>
      </x:c>
      <x:c r="B11" s="40" t="str">
        <x:v>이 브랜드를 본 부모가 가장 먼저 느꼈으면 하는 감정은 무엇인가?</x:v>
      </x:c>
      <x:c r="C11" s="40" t="str">
        <x:v>브랜드 톤과 디자인 방향을 정하기 위해</x:v>
      </x:c>
      <x:c r="D11" s="44" t="str"/>
      <x:c r="E11" s="40" t="n">
        <x:v>4</x:v>
      </x:c>
      <x:c r="F11" s="40" t="str">
        <x:v>미작성</x:v>
      </x:c>
      <x:c r="G11" s="40" t="str"/>
    </x:row>
    <x:row r="12" ht="24" hidden="0" customHeight="1">
      <x:c r="A12" s="40" t="n">
        <x:v>7</x:v>
      </x:c>
      <x:c r="B12" s="40" t="str">
        <x:v>이 브랜드를 본 아이가 가장 먼저 하고 싶어야 하는 행동은 무엇인가?</x:v>
      </x:c>
      <x:c r="C12" s="40" t="str">
        <x:v>첫 경험과 CTA를 정하기 위해</x:v>
      </x:c>
      <x:c r="D12" s="44" t="str"/>
      <x:c r="E12" s="40" t="n">
        <x:v>4</x:v>
      </x:c>
      <x:c r="F12" s="40" t="str">
        <x:v>미작성</x:v>
      </x:c>
      <x:c r="G12" s="40" t="str"/>
    </x:row>
    <x:row r="13" ht="15" hidden="0" customHeight="1">
      <x:c r="A13" s="40" t="n">
        <x:v>8</x:v>
      </x:c>
      <x:c r="B13" s="40" t="str">
        <x:v>3년 뒤 이 브랜드가 어떤 제품까지 확장되기를 원하는가?</x:v>
      </x:c>
      <x:c r="C13" s="40" t="str">
        <x:v>브랜드명의 확장성을 판단하기 위해</x:v>
      </x:c>
      <x:c r="D13" s="44" t="str"/>
      <x:c r="E13" s="40" t="n">
        <x:v>4</x:v>
      </x:c>
      <x:c r="F13" s="40" t="str">
        <x:v>미작성</x:v>
      </x:c>
      <x:c r="G13" s="40" t="str"/>
    </x:row>
    <x:row r="14" ht="15" hidden="0" customHeight="1">
      <x:c r="A14" s="40" t="n">
        <x:v>9</x:v>
      </x:c>
      <x:c r="B14" s="40" t="str">
        <x:v>사용자의 이름이나 개인 스토리를 전면에 내세울 것인가?</x:v>
      </x:c>
      <x:c r="C14" s="40" t="str">
        <x:v>개인 브랜드와 독립 브랜드의 경계를 정하기 위해</x:v>
      </x:c>
      <x:c r="D14" s="44" t="str"/>
      <x:c r="E14" s="40" t="n">
        <x:v>3</x:v>
      </x:c>
      <x:c r="F14" s="40" t="str">
        <x:v>미작성</x:v>
      </x:c>
      <x:c r="G14" s="40" t="str"/>
    </x:row>
    <x:row r="15" ht="15" hidden="0" customHeight="1">
      <x:c r="A15" s="40" t="n">
        <x:v>10</x:v>
      </x:c>
      <x:c r="B15" s="40" t="str">
        <x:v>브랜드가 절대로 사용하지 않을 표현은 무엇인가?</x:v>
      </x:c>
      <x:c r="C15" s="40" t="str">
        <x:v>문체와 광고 윤리 기준을 정하기 위해</x:v>
      </x:c>
      <x:c r="D15" s="44" t="str"/>
      <x:c r="E15" s="40" t="n">
        <x:v>4</x:v>
      </x:c>
      <x:c r="F15" s="40" t="str">
        <x:v>미작성</x:v>
      </x:c>
      <x:c r="G15" s="40" t="str"/>
    </x:row>
    <x:row r="16" ht="15" hidden="0" customHeight="1">
      <x:c r="A16" s="40" t="n">
        <x:v>11</x:v>
      </x:c>
      <x:c r="B16" s="40" t="str">
        <x:v>아이의 학습 변화를 어떤 숫자나 행동으로 증명할 것인가?</x:v>
      </x:c>
      <x:c r="C16" s="40" t="str">
        <x:v>부모 신뢰와 상품 성과 지표를 정하기 위해</x:v>
      </x:c>
      <x:c r="D16" s="44" t="str"/>
      <x:c r="E16" s="40" t="n">
        <x:v>5</x:v>
      </x:c>
      <x:c r="F16" s="40" t="str">
        <x:v>미작성</x:v>
      </x:c>
      <x:c r="G16" s="40" t="str"/>
    </x:row>
    <x:row r="17" ht="15" hidden="0" customHeight="1">
      <x:c r="A17" s="40" t="n">
        <x:v>12</x:v>
      </x:c>
      <x:c r="B17" s="40" t="str">
        <x:v>첫 번째로 만들 공식·수식 학습 주제는 무엇인가?</x:v>
      </x:c>
      <x:c r="C17" s="40" t="str">
        <x:v>브랜드 약속을 실제 콘텐츠로 검증하기 위해</x:v>
      </x:c>
      <x:c r="D17" s="44" t="str"/>
      <x:c r="E17" s="40" t="n">
        <x:v>5</x:v>
      </x:c>
      <x:c r="F17" s="40" t="str">
        <x:v>미작성</x:v>
      </x:c>
      <x:c r="G17" s="40" t="str"/>
    </x:row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A1:G2"/>
    <x:mergeCell ref="A3:G3"/>
  </x:mergeCells>
  <x:conditionalFormatting sqref="E6:E17">
    <x:cfRule type="dataBar" priority="1">
      <x:dataBar>
        <x:cfvo type="min"/>
        <x:cfvo type="max"/>
        <x:color rgb="FF2F6690"/>
      </x:dataBar>
      <x:extLst>
        <x:ext xmlns:x14="http://schemas.microsoft.com/office/spreadsheetml/2009/9/main" uri="{B025F937-C7B1-47D3-B67F-A62EFF666E3E}">
          <x14:id>{A93AD8C5-F1AF-E294-A79F-0E433C43805D}</x14:id>
        </x:ext>
      </x:extLst>
    </x:cfRule>
  </x:conditionalFormatting>
  <x:conditionalFormatting sqref="F6:F17">
    <x:cfRule type="expression" dxfId="9" priority="2">
      <x:formula>F6="완료"</x:formula>
    </x:cfRule>
  </x:conditionalFormatting>
  <x:dataValidations count="1">
    <x:dataValidation type="list" sqref="F6:F17">
      <x:formula1>"미작성,작성중,완료,보류"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93AD8C5-F1AF-E294-A79F-0E433C43805D}">
            <x14:dataBar gradient="1">
              <x14:cfvo type="min"/>
              <x14:cfvo type="max"/>
              <x14:fillColor rgb="FF2F6690"/>
            </x14:dataBar>
          </x14:cfRule>
          <xm:sqref>E6:E17</xm:sqref>
        </x14:conditionalFormatting>
      </x14:conditionalFormattings>
    </x:ext>
  </x:extLst>
</x:worksheet>
</file>