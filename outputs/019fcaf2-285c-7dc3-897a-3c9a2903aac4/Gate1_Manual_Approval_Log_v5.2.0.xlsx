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fb6005f01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4e332d56384400"/>
    <x:sheet xmlns:r="http://schemas.openxmlformats.org/officeDocument/2006/relationships" name="Approvals" sheetId="2" r:id="Rf2add852f70c4975"/>
    <x:sheet xmlns:r="http://schemas.openxmlformats.org/officeDocument/2006/relationships" name="Instructions" sheetId="3" r:id="R33100f72c4a948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238"/>
      <x:name val="Carlito"/>
    </x:font>
    <x:font>
      <x:b/>
      <x:sz val="11"/>
      <x:color rgb="FF172033"/>
      <x:name val="Carlito"/>
    </x:font>
    <x:font>
      <x:sz val="10"/>
      <x:color rgb="FF263238"/>
      <x:name val="Carlito"/>
    </x:font>
    <x:font>
      <x:b/>
      <x:sz val="11"/>
      <x:color rgb="FFFFFFFF"/>
      <x:name val="Carlito"/>
    </x:font>
    <x:font>
      <x:b/>
      <x:sz val="10"/>
      <x:color rgb="FF1720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9EEFF"/>
      </x:patternFill>
    </x:fill>
    <x:fill>
      <x:patternFill patternType="solid">
        <x:fgColor rgb="FFFFF5DD"/>
      </x:patternFill>
    </x:fill>
    <x:fill>
      <x:patternFill patternType="solid">
        <x:fgColor rgb="FFE8F8F4"/>
      </x:patternFill>
    </x:fill>
    <x:fill>
      <x:patternFill patternType="solid">
        <x:fgColor rgb="FF2F5BFF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4" borderId="0" xfId="0" applyNumberFormat="1" applyFont="1" applyFill="1" applyBorder="1"/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42c06ec3e46ad" /><Relationship Type="http://schemas.openxmlformats.org/officeDocument/2006/relationships/theme" Target="/xl/theme/theme1.xml" Id="R966f76cdf0074f4d" /><Relationship Type="http://schemas.openxmlformats.org/officeDocument/2006/relationships/sharedStrings" Target="/xl/sharedStrings.xml" Id="R1bd2b95b506443ac" /><Relationship Type="http://schemas.openxmlformats.org/officeDocument/2006/relationships/worksheet" Target="/xl/worksheets/sheet1.xml" Id="Rb74e332d56384400" /><Relationship Type="http://schemas.openxmlformats.org/officeDocument/2006/relationships/worksheet" Target="/xl/worksheets/sheet2.xml" Id="Rf2add852f70c4975" /><Relationship Type="http://schemas.openxmlformats.org/officeDocument/2006/relationships/worksheet" Target="/xl/worksheets/sheet3.xml" Id="R33100f72c4a948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Gate 1 Manual Approval Log</x:v>
      </x:c>
    </x:row>
    <x:row r="2" ht="24" customHeight="1">
      <x:c r="A2" s="6" t="str">
        <x:v>v5.2.0 | approval cells are intentionally blank until named reviewers sign</x:v>
      </x:c>
    </x:row>
    <x:row r="4">
      <x:c r="A4" s="7" t="str">
        <x:v>Automated QA</x:v>
      </x:c>
      <x:c r="B4" s="14" t="str">
        <x:v>PASS</x:v>
      </x:c>
    </x:row>
    <x:row r="5">
      <x:c r="A5" s="7" t="str">
        <x:v>Required approvals</x:v>
      </x:c>
      <x:c r="B5" s="10" t="n">
        <x:v>10</x:v>
      </x:c>
    </x:row>
    <x:row r="6">
      <x:c r="A6" s="7" t="str">
        <x:v>Recorded approvals</x:v>
      </x:c>
      <x:c r="B6" s="10" t="n">
        <x:f>COUNTIF(Approvals!H5:H14,"RECORDED")</x:f>
        <x:v>0</x:v>
      </x:c>
    </x:row>
    <x:row r="7">
      <x:c r="A7" s="7" t="str">
        <x:v>Recorded rejects</x:v>
      </x:c>
      <x:c r="B7" s="10" t="n">
        <x:f>COUNTIF(Approvals!C5:C14,"REJECT")</x:f>
        <x:v>0</x:v>
      </x:c>
    </x:row>
    <x:row r="8">
      <x:c r="A8" s="7" t="str">
        <x:v>Gate 1 decision</x:v>
      </x:c>
      <x:c r="B8" s="15" t="str">
        <x:f>IF(B4&lt;&gt;"PASS","FAIL",IF(B6&lt;B5,"BLOCKED_EXTERNAL",IF(B7&gt;0,"FAIL","VERIFIED")))</x:f>
        <x:v>BLOCKED_EXTERNAL</x:v>
      </x:c>
    </x:row>
    <x:row r="10" ht="34" customHeight="1">
      <x:c r="A10" s="13" t="str">
        <x:v>No row is pre-approved. A decision is valid only with reviewer name, date/time, and review comment or patch reference.</x:v>
      </x:c>
      <x:c r="B10" s="13"/>
      <x:c r="C10" s="13"/>
      <x:c r="D10" s="13"/>
      <x:c r="E10" s="13"/>
      <x:c r="F10" s="13"/>
      <x:c r="G10" s="13"/>
      <x:c r="H10" s="13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22" hidden="0" customWidth="1"/>
    <x:col min="5" max="5" width="22" hidden="0" customWidth="1"/>
    <x:col min="6" max="6" width="18" hidden="0" customWidth="1"/>
    <x:col min="7" max="7" width="52" hidden="0" customWidth="1"/>
    <x:col min="8" max="8" width="18" hidden="0" customWidth="1"/>
  </x:cols>
  <x:sheetData>
    <x:row r="1" ht="34" customHeight="1">
      <x:c r="A1" s="3" t="str">
        <x:v>Five-role Approval Register</x:v>
      </x:c>
    </x:row>
    <x:row r="2" ht="24" customHeight="1">
      <x:c r="A2" s="6" t="str">
        <x:v>Each character requires all five roles. Blank means pending, never approval.</x:v>
      </x:c>
    </x:row>
    <x:row r="4" ht="30" customHeight="1">
      <x:c r="A4" s="20" t="str">
        <x:v>Character</x:v>
      </x:c>
      <x:c r="B4" s="20" t="str">
        <x:v>Role</x:v>
      </x:c>
      <x:c r="C4" s="20" t="str">
        <x:v>Decision</x:v>
      </x:c>
      <x:c r="D4" s="20" t="str">
        <x:v>Reviewer</x:v>
      </x:c>
      <x:c r="E4" s="20" t="str">
        <x:v>Reviewed at</x:v>
      </x:c>
      <x:c r="F4" s="20" t="str">
        <x:v>Patch ID</x:v>
      </x:c>
      <x:c r="G4" s="20" t="str">
        <x:v>Comment</x:v>
      </x:c>
      <x:c r="H4" s="20" t="str">
        <x:v>Record status</x:v>
      </x:c>
    </x:row>
    <x:row r="5">
      <x:c r="A5" s="10" t="str">
        <x:v>Chakchaki</x:v>
      </x:c>
      <x:c r="B5" s="10" t="str">
        <x:v>Character Art Lead</x:v>
      </x:c>
      <x:c r="C5" s="15" t="str"/>
      <x:c r="D5" s="10" t="str"/>
      <x:c r="E5" s="26" t="str"/>
      <x:c r="F5" s="10" t="str"/>
      <x:c r="G5" s="10" t="str"/>
      <x:c r="H5" s="15" t="str">
        <x:f>IF(C5="","PENDING","RECORDED")</x:f>
        <x:v>PENDING</x:v>
      </x:c>
    </x:row>
    <x:row r="6">
      <x:c r="A6" s="10" t="str">
        <x:v>Chakchaki</x:v>
      </x:c>
      <x:c r="B6" s="10" t="str">
        <x:v>3D Technical Art Lead</x:v>
      </x:c>
      <x:c r="C6" s="15" t="str"/>
      <x:c r="D6" s="10" t="str"/>
      <x:c r="E6" s="26" t="str"/>
      <x:c r="F6" s="10" t="str"/>
      <x:c r="G6" s="10" t="str"/>
      <x:c r="H6" s="15" t="str">
        <x:f>IF(C6="","PENDING","RECORDED")</x:f>
        <x:v>PENDING</x:v>
      </x:c>
    </x:row>
    <x:row r="7">
      <x:c r="A7" s="10" t="str">
        <x:v>Chakchaki</x:v>
      </x:c>
      <x:c r="B7" s="10" t="str">
        <x:v>UX Brand System Lead</x:v>
      </x:c>
      <x:c r="C7" s="15" t="str"/>
      <x:c r="D7" s="10" t="str"/>
      <x:c r="E7" s="26" t="str"/>
      <x:c r="F7" s="10" t="str"/>
      <x:c r="G7" s="10" t="str"/>
      <x:c r="H7" s="15" t="str">
        <x:f>IF(C7="","PENDING","RECORDED")</x:f>
        <x:v>PENDING</x:v>
      </x:c>
    </x:row>
    <x:row r="8">
      <x:c r="A8" s="10" t="str">
        <x:v>Chakchaki</x:v>
      </x:c>
      <x:c r="B8" s="10" t="str">
        <x:v>QA Lead</x:v>
      </x:c>
      <x:c r="C8" s="15" t="str"/>
      <x:c r="D8" s="10" t="str"/>
      <x:c r="E8" s="26" t="str"/>
      <x:c r="F8" s="10" t="str"/>
      <x:c r="G8" s="10" t="str"/>
      <x:c r="H8" s="15" t="str">
        <x:f>IF(C8="","PENDING","RECORDED")</x:f>
        <x:v>PENDING</x:v>
      </x:c>
    </x:row>
    <x:row r="9">
      <x:c r="A9" s="10" t="str">
        <x:v>Chakchaki</x:v>
      </x:c>
      <x:c r="B9" s="10" t="str">
        <x:v>Product Owner</x:v>
      </x:c>
      <x:c r="C9" s="15" t="str"/>
      <x:c r="D9" s="10" t="str"/>
      <x:c r="E9" s="26" t="str"/>
      <x:c r="F9" s="10" t="str"/>
      <x:c r="G9" s="10" t="str"/>
      <x:c r="H9" s="15" t="str">
        <x:f>IF(C9="","PENDING","RECORDED")</x:f>
        <x:v>PENDING</x:v>
      </x:c>
    </x:row>
    <x:row r="10">
      <x:c r="A10" s="10" t="str">
        <x:v>Gongsickyi</x:v>
      </x:c>
      <x:c r="B10" s="10" t="str">
        <x:v>Character Art Lead</x:v>
      </x:c>
      <x:c r="C10" s="15" t="str"/>
      <x:c r="D10" s="10" t="str"/>
      <x:c r="E10" s="26" t="str"/>
      <x:c r="F10" s="10" t="str"/>
      <x:c r="G10" s="10" t="str"/>
      <x:c r="H10" s="15" t="str">
        <x:f>IF(C10="","PENDING","RECORDED")</x:f>
        <x:v>PENDING</x:v>
      </x:c>
    </x:row>
    <x:row r="11">
      <x:c r="A11" s="10" t="str">
        <x:v>Gongsickyi</x:v>
      </x:c>
      <x:c r="B11" s="10" t="str">
        <x:v>3D Technical Art Lead</x:v>
      </x:c>
      <x:c r="C11" s="15" t="str"/>
      <x:c r="D11" s="10" t="str"/>
      <x:c r="E11" s="26" t="str"/>
      <x:c r="F11" s="10" t="str"/>
      <x:c r="G11" s="10" t="str"/>
      <x:c r="H11" s="15" t="str">
        <x:f>IF(C11="","PENDING","RECORDED")</x:f>
        <x:v>PENDING</x:v>
      </x:c>
    </x:row>
    <x:row r="12">
      <x:c r="A12" s="10" t="str">
        <x:v>Gongsickyi</x:v>
      </x:c>
      <x:c r="B12" s="10" t="str">
        <x:v>UX Brand System Lead</x:v>
      </x:c>
      <x:c r="C12" s="15" t="str"/>
      <x:c r="D12" s="10" t="str"/>
      <x:c r="E12" s="26" t="str"/>
      <x:c r="F12" s="10" t="str"/>
      <x:c r="G12" s="10" t="str"/>
      <x:c r="H12" s="15" t="str">
        <x:f>IF(C12="","PENDING","RECORDED")</x:f>
        <x:v>PENDING</x:v>
      </x:c>
    </x:row>
    <x:row r="13">
      <x:c r="A13" s="10" t="str">
        <x:v>Gongsickyi</x:v>
      </x:c>
      <x:c r="B13" s="10" t="str">
        <x:v>QA Lead</x:v>
      </x:c>
      <x:c r="C13" s="15" t="str"/>
      <x:c r="D13" s="10" t="str"/>
      <x:c r="E13" s="26" t="str"/>
      <x:c r="F13" s="10" t="str"/>
      <x:c r="G13" s="10" t="str"/>
      <x:c r="H13" s="15" t="str">
        <x:f>IF(C13="","PENDING","RECORDED")</x:f>
        <x:v>PENDING</x:v>
      </x:c>
    </x:row>
    <x:row r="14">
      <x:c r="A14" s="10" t="str">
        <x:v>Gongsickyi</x:v>
      </x:c>
      <x:c r="B14" s="10" t="str">
        <x:v>Product Owner</x:v>
      </x:c>
      <x:c r="C14" s="15" t="str"/>
      <x:c r="D14" s="10" t="str"/>
      <x:c r="E14" s="26" t="str"/>
      <x:c r="F14" s="10" t="str"/>
      <x:c r="G14" s="10" t="str"/>
      <x:c r="H14" s="15" t="str">
        <x:f>IF(C14="","PENDING","RECORDED")</x:f>
        <x:v>PENDING</x:v>
      </x:c>
    </x:row>
  </x:sheetData>
  <x:mergeCells>
    <x:mergeCell ref="A1:H1"/>
    <x:mergeCell ref="A2:H2"/>
  </x:mergeCells>
  <x:dataValidations count="1">
    <x:dataValidation type="list" sqref="C5:C14">
      <x:formula1>"APPROVE,APPROVE_WITH_PATCH,REJECT"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3" t="str">
        <x:v>Approval Instructions</x:v>
      </x:c>
    </x:row>
    <x:row r="2" ht="24" customHeight="1">
      <x:c r="A2" s="6" t="str">
        <x:v>Record real review evidence only; do not infer or fabricate approval.</x:v>
      </x:c>
    </x:row>
    <x:row r="4" ht="30" customHeight="1">
      <x:c r="A4" s="20" t="str">
        <x:v>Rule</x:v>
      </x:c>
      <x:c r="B4" s="20" t="str">
        <x:v>Requirement</x:v>
      </x:c>
    </x:row>
    <x:row r="5">
      <x:c r="A5" s="28" t="str">
        <x:v>Automated prerequisite</x:v>
      </x:c>
      <x:c r="B5" s="10" t="str">
        <x:v>Gate1_Automated_QA_v5.2.0.json must report PASS before Gate 1 can be VERIFIED.</x:v>
      </x:c>
    </x:row>
    <x:row r="6">
      <x:c r="A6" s="28" t="str">
        <x:v>Decision</x:v>
      </x:c>
      <x:c r="B6" s="10" t="str">
        <x:v>Choose APPROVE, APPROVE_WITH_PATCH, or REJECT from the dropdown.</x:v>
      </x:c>
    </x:row>
    <x:row r="7">
      <x:c r="A7" s="28" t="str">
        <x:v>Identity</x:v>
      </x:c>
      <x:c r="B7" s="10" t="str">
        <x:v>Enter the real reviewer name and their accountable role.</x:v>
      </x:c>
    </x:row>
    <x:row r="8">
      <x:c r="A8" s="28" t="str">
        <x:v>Timestamp</x:v>
      </x:c>
      <x:c r="B8" s="10" t="str">
        <x:v>Record the actual review date and time.</x:v>
      </x:c>
    </x:row>
    <x:row r="9">
      <x:c r="A9" s="28" t="str">
        <x:v>Evidence</x:v>
      </x:c>
      <x:c r="B9" s="10" t="str">
        <x:v>Add a concise comment; for conditional approval, include the exact patch identifier.</x:v>
      </x:c>
    </x:row>
    <x:row r="10">
      <x:c r="A10" s="28" t="str">
        <x:v>Completion</x:v>
      </x:c>
      <x:c r="B10" s="10" t="str">
        <x:v>Both characters require all five roles, with no rejection and no unresolved patch.</x:v>
      </x:c>
    </x:row>
    <x:row r="11">
      <x:c r="A11" s="28" t="str">
        <x:v>Gate rule</x:v>
      </x:c>
      <x:c r="B11" s="10" t="str">
        <x:v>Gate 2 remains blocked until the automated and manual conditions are all satisfied.</x:v>
      </x:c>
    </x:row>
    <x:row r="12">
      <x:c r="A12" s="28" t="str">
        <x:v>Candidate source</x:v>
      </x:c>
      <x:c r="B12" s="10" t="str">
        <x:v>Chakchaki: evidence/gate-1/candidates/Chakchaki_Canonical_Turnaround_Candidate_v3.png (916636d0cb1603ad0eed785cf9e827b693687fe437c1eb24014724a0f1b57480)
Gongsickyi: evidence/gate-1/candidates/Gongsickyi_Canonical_Turnaround_Candidate_v4.png (9c8061afab5bc381edc02780c0ee9265489d977f3cecfc1e8e52ab6467b01157)</x:v>
      </x:c>
    </x:row>
  </x:sheetData>
  <x:mergeCells>
    <x:mergeCell ref="A1:F1"/>
    <x:mergeCell ref="A2:F2"/>
  </x:mergeCells>
  <x:pageMargins left="0.7" right="0.7" top="0.75" bottom="0.75" header="0.3" footer="0.3"/>
</x:worksheet>
</file>