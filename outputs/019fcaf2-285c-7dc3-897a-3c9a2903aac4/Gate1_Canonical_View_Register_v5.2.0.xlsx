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3d47b6c27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a7bc2c39ed47ff"/>
    <x:sheet xmlns:r="http://schemas.openxmlformats.org/officeDocument/2006/relationships" name="Candidate Metrics" sheetId="2" r:id="R7eb72f0a6e0e4e3c"/>
    <x:sheet xmlns:r="http://schemas.openxmlformats.org/officeDocument/2006/relationships" name="Direction Register" sheetId="3" r:id="R064bad48bbcd4358"/>
    <x:sheet xmlns:r="http://schemas.openxmlformats.org/officeDocument/2006/relationships" name="Sources" sheetId="4" r:id="R98939ba9b439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00"/>
    <x:numFmt numFmtId="202" formatCode="0.00"/>
    <x:numFmt numFmtId="203" formatCode="0.0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238"/>
      <x:name val="Carlito"/>
    </x:font>
    <x:font>
      <x:b/>
      <x:sz val="11"/>
      <x:color rgb="FF172033"/>
      <x:name val="Carlito"/>
    </x:font>
    <x:font>
      <x:sz val="10"/>
      <x:color rgb="FF263238"/>
      <x:name val="Carlito"/>
    </x:font>
    <x:font>
      <x:b/>
      <x:sz val="11"/>
      <x:color rgb="FFFF6B6B"/>
      <x:name val="Carlito"/>
    </x:font>
    <x:font>
      <x:b/>
      <x:sz val="10"/>
      <x:color rgb="FF263238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9EEFF"/>
      </x:patternFill>
    </x:fill>
    <x:fill>
      <x:patternFill patternType="solid">
        <x:fgColor rgb="FFFFECEC"/>
      </x:patternFill>
    </x:fill>
    <x:fill>
      <x:patternFill patternType="solid">
        <x:fgColor rgb="FFE8F8F4"/>
      </x:patternFill>
    </x:fill>
    <x:fill>
      <x:patternFill patternType="solid">
        <x:fgColor rgb="FFFFF5DD"/>
      </x:patternFill>
    </x:fill>
    <x:fill>
      <x:patternFill patternType="solid">
        <x:fgColor rgb="FF2F5BFF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bfa157bfc4df2" /><Relationship Type="http://schemas.openxmlformats.org/officeDocument/2006/relationships/theme" Target="/xl/theme/theme1.xml" Id="R533e74bcd1094560" /><Relationship Type="http://schemas.openxmlformats.org/officeDocument/2006/relationships/sharedStrings" Target="/xl/sharedStrings.xml" Id="R5ca9608d97284db2" /><Relationship Type="http://schemas.openxmlformats.org/officeDocument/2006/relationships/worksheet" Target="/xl/worksheets/sheet1.xml" Id="R1fa7bc2c39ed47ff" /><Relationship Type="http://schemas.openxmlformats.org/officeDocument/2006/relationships/worksheet" Target="/xl/worksheets/sheet2.xml" Id="R7eb72f0a6e0e4e3c" /><Relationship Type="http://schemas.openxmlformats.org/officeDocument/2006/relationships/worksheet" Target="/xl/worksheets/sheet3.xml" Id="R064bad48bbcd4358" /><Relationship Type="http://schemas.openxmlformats.org/officeDocument/2006/relationships/worksheet" Target="/xl/worksheets/sheet4.xml" Id="R98939ba9b4394e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Gate 1 Canonical View Register</x:v>
      </x:c>
    </x:row>
    <x:row r="2" ht="24" customHeight="1">
      <x:c r="A2" s="6" t="str">
        <x:v>v5.2.0 | automated evidence register | generated from the committed candidate boards</x:v>
      </x:c>
    </x:row>
    <x:row r="4">
      <x:c r="A4" s="7" t="str">
        <x:v>Generated (UTC)</x:v>
      </x:c>
      <x:c r="B4" s="11" t="n">
        <x:v>46238.26960375</x:v>
      </x:c>
    </x:row>
    <x:row r="5">
      <x:c r="A5" s="7" t="str">
        <x:v>Automated QA</x:v>
      </x:c>
      <x:c r="B5" s="16" t="str">
        <x:v>PASS</x:v>
      </x:c>
    </x:row>
    <x:row r="6">
      <x:c r="A6" s="7" t="str">
        <x:v>Passing candidates</x:v>
      </x:c>
      <x:c r="B6" s="15" t="n">
        <x:f>COUNTIF('Candidate Metrics'!M5:M6,"PASS")</x:f>
        <x:v>2</x:v>
      </x:c>
    </x:row>
    <x:row r="7">
      <x:c r="A7" s="7" t="str">
        <x:v>Registered cells</x:v>
      </x:c>
      <x:c r="B7" s="15" t="n">
        <x:f>COUNTA('Direction Register'!A5:A36)</x:f>
        <x:v>32</x:v>
      </x:c>
    </x:row>
    <x:row r="8">
      <x:c r="A8" s="7" t="str">
        <x:v>Gate 1 decision</x:v>
      </x:c>
      <x:c r="B8" s="17" t="str">
        <x:f>IF(AND(B5="PASS",B6=2,B7=32),"BLOCKED_EXTERNAL","FAIL")</x:f>
        <x:v>BLOCKED_EXTERNAL</x:v>
      </x:c>
    </x:row>
    <x:row r="10" ht="32" customHeight="1">
      <x:c r="A10" s="14" t="str">
        <x:v>Gate 2 remains prohibited until automated QA passes and all five roles approve both characters.</x:v>
      </x:c>
      <x:c r="B10" s="14"/>
      <x:c r="C10" s="14"/>
      <x:c r="D10" s="14"/>
      <x:c r="E10" s="14"/>
      <x:c r="F10" s="14"/>
      <x:c r="G10" s="14"/>
      <x:c r="H10" s="14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68" hidden="0" customWidth="1"/>
    <x:col min="4" max="4" width="11" hidden="0" customWidth="1"/>
    <x:col min="5" max="5" width="11" hidden="0" customWidth="1"/>
    <x:col min="6" max="6" width="18" hidden="0" customWidth="1"/>
    <x:col min="7" max="7" width="14" hidden="0" customWidth="1"/>
    <x:col min="8" max="8" width="15" hidden="0" customWidth="1"/>
    <x:col min="9" max="9" width="18" hidden="0" customWidth="1"/>
    <x:col min="10" max="10" width="15" hidden="0" customWidth="1"/>
    <x:col min="11" max="11" width="17" hidden="0" customWidth="1"/>
    <x:col min="12" max="12" width="16" hidden="0" customWidth="1"/>
    <x:col min="13" max="13" width="13" hidden="0" customWidth="1"/>
  </x:cols>
  <x:sheetData>
    <x:row r="1" ht="34" customHeight="1">
      <x:c r="A1" s="3" t="str">
        <x:v>Candidate Metrics</x:v>
      </x:c>
    </x:row>
    <x:row r="2" ht="24" customHeight="1">
      <x:c r="A2" s="6" t="str">
        <x:v>Scale and floor-line checks use the ±3% Gate 1 tolerance.</x:v>
      </x:c>
    </x:row>
    <x:row r="4" ht="30" customHeight="1">
      <x:c r="A4" s="22" t="str">
        <x:v>Character</x:v>
      </x:c>
      <x:c r="B4" s="22" t="str">
        <x:v>Candidate</x:v>
      </x:c>
      <x:c r="C4" s="22" t="str">
        <x:v>SHA-256</x:v>
      </x:c>
      <x:c r="D4" s="22" t="str">
        <x:v>Width</x:v>
      </x:c>
      <x:c r="E4" s="22" t="str">
        <x:v>Height</x:v>
      </x:c>
      <x:c r="F4" s="22" t="str">
        <x:v>Height deviation %</x:v>
      </x:c>
      <x:c r="G4" s="22" t="str">
        <x:v>Tolerance %</x:v>
      </x:c>
      <x:c r="H4" s="22" t="str">
        <x:v>Height check</x:v>
      </x:c>
      <x:c r="I4" s="22" t="str">
        <x:v>Baseline spread px</x:v>
      </x:c>
      <x:c r="J4" s="22" t="str">
        <x:v>Cell height px</x:v>
      </x:c>
      <x:c r="K4" s="22" t="str">
        <x:v>Baseline limit px</x:v>
      </x:c>
      <x:c r="L4" s="22" t="str">
        <x:v>Baseline check</x:v>
      </x:c>
      <x:c r="M4" s="22" t="str">
        <x:v>Overall</x:v>
      </x:c>
    </x:row>
    <x:row r="5">
      <x:c r="A5" s="10" t="str">
        <x:v>Chakchaki</x:v>
      </x:c>
      <x:c r="B5" s="10" t="str">
        <x:v>evidence/gate-1/candidates/Chakchaki_Canonical_Turnaround_Candidate_v3.png</x:v>
      </x:c>
      <x:c r="C5" s="10" t="str">
        <x:v>916636d0cb1603ad0eed785cf9e827b693687fe437c1eb24014724a0f1b57480</x:v>
      </x:c>
      <x:c r="D5" s="10" t="n">
        <x:v>4096</x:v>
      </x:c>
      <x:c r="E5" s="10" t="n">
        <x:v>4096</x:v>
      </x:c>
      <x:c r="F5" s="23" t="n">
        <x:v>0.3358</x:v>
      </x:c>
      <x:c r="G5" s="23" t="n">
        <x:v>3</x:v>
      </x:c>
      <x:c r="H5" s="25" t="str">
        <x:f>IF(F5&lt;=G5,"PASS","FAIL")</x:f>
        <x:v>PASS</x:v>
      </x:c>
      <x:c r="I5" s="10" t="n">
        <x:v>2</x:v>
      </x:c>
      <x:c r="J5" s="24" t="n">
        <x:v>1024</x:v>
      </x:c>
      <x:c r="K5" s="24" t="n">
        <x:f>J5*G5/100</x:f>
        <x:v>30.72</x:v>
      </x:c>
      <x:c r="L5" s="25" t="str">
        <x:f>IF(I5&lt;=K5,"PASS","FAIL")</x:f>
        <x:v>PASS</x:v>
      </x:c>
      <x:c r="M5" s="25" t="str">
        <x:f>IF(AND(D5&gt;=2048,E5&gt;=2048,H5="PASS",L5="PASS"),"PASS","FAIL")</x:f>
        <x:v>PASS</x:v>
      </x:c>
    </x:row>
    <x:row r="6">
      <x:c r="A6" s="10" t="str">
        <x:v>Gongsickyi</x:v>
      </x:c>
      <x:c r="B6" s="10" t="str">
        <x:v>evidence/gate-1/candidates/Gongsickyi_Canonical_Turnaround_Candidate_v4.png</x:v>
      </x:c>
      <x:c r="C6" s="10" t="str">
        <x:v>9c8061afab5bc381edc02780c0ee9265489d977f3cecfc1e8e52ab6467b01157</x:v>
      </x:c>
      <x:c r="D6" s="10" t="n">
        <x:v>4096</x:v>
      </x:c>
      <x:c r="E6" s="10" t="n">
        <x:v>4096</x:v>
      </x:c>
      <x:c r="F6" s="23" t="n">
        <x:v>0.1555</x:v>
      </x:c>
      <x:c r="G6" s="23" t="n">
        <x:v>3</x:v>
      </x:c>
      <x:c r="H6" s="25" t="str">
        <x:f>IF(F6&lt;=G6,"PASS","FAIL")</x:f>
        <x:v>PASS</x:v>
      </x:c>
      <x:c r="I6" s="10" t="n">
        <x:v>1</x:v>
      </x:c>
      <x:c r="J6" s="24" t="n">
        <x:v>1024</x:v>
      </x:c>
      <x:c r="K6" s="24" t="n">
        <x:f>J6*G6/100</x:f>
        <x:v>30.72</x:v>
      </x:c>
      <x:c r="L6" s="25" t="str">
        <x:f>IF(I6&lt;=K6,"PASS","FAIL")</x:f>
        <x:v>PASS</x:v>
      </x:c>
      <x:c r="M6" s="25" t="str">
        <x:f>IF(AND(D6&gt;=2048,E6&gt;=2048,H6="PASS",L6="PASS"),"PASS","FAIL")</x:f>
        <x:v>PASS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7" hidden="0" customWidth="1"/>
    <x:col min="5" max="5" width="14" hidden="0" customWidth="1"/>
    <x:col min="6" max="6" width="15" hidden="0" customWidth="1"/>
    <x:col min="7" max="7" width="20" hidden="0" customWidth="1"/>
    <x:col min="8" max="8" width="15" hidden="0" customWidth="1"/>
  </x:cols>
  <x:sheetData>
    <x:row r="1" ht="34" customHeight="1">
      <x:c r="A1" s="3" t="str">
        <x:v>Direction Register</x:v>
      </x:c>
    </x:row>
    <x:row r="2" ht="24" customHeight="1">
      <x:c r="A2" s="6" t="str">
        <x:v>All 32 board cells are measurable; this does not substitute for native 2048px direction files or human approval.</x:v>
      </x:c>
    </x:row>
    <x:row r="4" ht="30" customHeight="1">
      <x:c r="A4" s="22" t="str">
        <x:v>Character</x:v>
      </x:c>
      <x:c r="B4" s="22" t="str">
        <x:v>Direction</x:v>
      </x:c>
      <x:c r="C4" s="22" t="str">
        <x:v>Subject height px</x:v>
      </x:c>
      <x:c r="D4" s="22" t="str">
        <x:v>Subject width px</x:v>
      </x:c>
      <x:c r="E4" s="22" t="str">
        <x:v>Baseline px</x:v>
      </x:c>
      <x:c r="F4" s="22" t="str">
        <x:v>Foreground %</x:v>
      </x:c>
      <x:c r="G4" s="22" t="str">
        <x:v>White background %</x:v>
      </x:c>
      <x:c r="H4" s="22" t="str">
        <x:v>Measurement</x:v>
      </x:c>
    </x:row>
    <x:row r="5">
      <x:c r="A5" s="10" t="str">
        <x:v>Chakchaki</x:v>
      </x:c>
      <x:c r="B5" s="10" t="str">
        <x:v>CV-FRONT</x:v>
      </x:c>
      <x:c r="C5" s="10" t="n">
        <x:v>745</x:v>
      </x:c>
      <x:c r="D5" s="10" t="n">
        <x:v>395</x:v>
      </x:c>
      <x:c r="E5" s="10" t="n">
        <x:v>796</x:v>
      </x:c>
      <x:c r="F5" s="26" t="n">
        <x:v>0.145995</x:v>
      </x:c>
      <x:c r="G5" s="26" t="n">
        <x:v>0.854005</x:v>
      </x:c>
      <x:c r="H5" s="27" t="str">
        <x:f>IF(C5&gt;0,"MEASURED","FAIL")</x:f>
        <x:v>MEASURED</x:v>
      </x:c>
    </x:row>
    <x:row r="6">
      <x:c r="A6" s="10" t="str">
        <x:v>Chakchaki</x:v>
      </x:c>
      <x:c r="B6" s="10" t="str">
        <x:v>CV-FRONT-3Q-L</x:v>
      </x:c>
      <x:c r="C6" s="10" t="n">
        <x:v>745</x:v>
      </x:c>
      <x:c r="D6" s="10" t="n">
        <x:v>356</x:v>
      </x:c>
      <x:c r="E6" s="10" t="n">
        <x:v>796</x:v>
      </x:c>
      <x:c r="F6" s="26" t="n">
        <x:v>0.15444</x:v>
      </x:c>
      <x:c r="G6" s="26" t="n">
        <x:v>0.84556</x:v>
      </x:c>
      <x:c r="H6" s="27" t="str">
        <x:f>IF(C6&gt;0,"MEASURED","FAIL")</x:f>
        <x:v>MEASURED</x:v>
      </x:c>
    </x:row>
    <x:row r="7">
      <x:c r="A7" s="10" t="str">
        <x:v>Chakchaki</x:v>
      </x:c>
      <x:c r="B7" s="10" t="str">
        <x:v>CV-SIDE-L</x:v>
      </x:c>
      <x:c r="C7" s="10" t="n">
        <x:v>745</x:v>
      </x:c>
      <x:c r="D7" s="10" t="n">
        <x:v>333</x:v>
      </x:c>
      <x:c r="E7" s="10" t="n">
        <x:v>796</x:v>
      </x:c>
      <x:c r="F7" s="26" t="n">
        <x:v>0.138343</x:v>
      </x:c>
      <x:c r="G7" s="26" t="n">
        <x:v>0.861657</x:v>
      </x:c>
      <x:c r="H7" s="27" t="str">
        <x:f>IF(C7&gt;0,"MEASURED","FAIL")</x:f>
        <x:v>MEASURED</x:v>
      </x:c>
    </x:row>
    <x:row r="8">
      <x:c r="A8" s="10" t="str">
        <x:v>Chakchaki</x:v>
      </x:c>
      <x:c r="B8" s="10" t="str">
        <x:v>CV-BACK-3Q-L</x:v>
      </x:c>
      <x:c r="C8" s="10" t="n">
        <x:v>745</x:v>
      </x:c>
      <x:c r="D8" s="10" t="n">
        <x:v>373</x:v>
      </x:c>
      <x:c r="E8" s="10" t="n">
        <x:v>796</x:v>
      </x:c>
      <x:c r="F8" s="26" t="n">
        <x:v>0.166533</x:v>
      </x:c>
      <x:c r="G8" s="26" t="n">
        <x:v>0.833467</x:v>
      </x:c>
      <x:c r="H8" s="27" t="str">
        <x:f>IF(C8&gt;0,"MEASURED","FAIL")</x:f>
        <x:v>MEASURED</x:v>
      </x:c>
    </x:row>
    <x:row r="9">
      <x:c r="A9" s="10" t="str">
        <x:v>Chakchaki</x:v>
      </x:c>
      <x:c r="B9" s="10" t="str">
        <x:v>CV-BACK</x:v>
      </x:c>
      <x:c r="C9" s="10" t="n">
        <x:v>743</x:v>
      </x:c>
      <x:c r="D9" s="10" t="n">
        <x:v>390</x:v>
      </x:c>
      <x:c r="E9" s="10" t="n">
        <x:v>795</x:v>
      </x:c>
      <x:c r="F9" s="26" t="n">
        <x:v>0.15966</x:v>
      </x:c>
      <x:c r="G9" s="26" t="n">
        <x:v>0.84034</x:v>
      </x:c>
      <x:c r="H9" s="27" t="str">
        <x:f>IF(C9&gt;0,"MEASURED","FAIL")</x:f>
        <x:v>MEASURED</x:v>
      </x:c>
    </x:row>
    <x:row r="10">
      <x:c r="A10" s="10" t="str">
        <x:v>Chakchaki</x:v>
      </x:c>
      <x:c r="B10" s="10" t="str">
        <x:v>CV-BACK-3Q-R</x:v>
      </x:c>
      <x:c r="C10" s="10" t="n">
        <x:v>743</x:v>
      </x:c>
      <x:c r="D10" s="10" t="n">
        <x:v>358</x:v>
      </x:c>
      <x:c r="E10" s="10" t="n">
        <x:v>795</x:v>
      </x:c>
      <x:c r="F10" s="26" t="n">
        <x:v>0.161861</x:v>
      </x:c>
      <x:c r="G10" s="26" t="n">
        <x:v>0.838139</x:v>
      </x:c>
      <x:c r="H10" s="27" t="str">
        <x:f>IF(C10&gt;0,"MEASURED","FAIL")</x:f>
        <x:v>MEASURED</x:v>
      </x:c>
    </x:row>
    <x:row r="11">
      <x:c r="A11" s="10" t="str">
        <x:v>Chakchaki</x:v>
      </x:c>
      <x:c r="B11" s="10" t="str">
        <x:v>CV-SIDE-R</x:v>
      </x:c>
      <x:c r="C11" s="10" t="n">
        <x:v>744</x:v>
      </x:c>
      <x:c r="D11" s="10" t="n">
        <x:v>322</x:v>
      </x:c>
      <x:c r="E11" s="10" t="n">
        <x:v>795</x:v>
      </x:c>
      <x:c r="F11" s="26" t="n">
        <x:v>0.134433</x:v>
      </x:c>
      <x:c r="G11" s="26" t="n">
        <x:v>0.865567</x:v>
      </x:c>
      <x:c r="H11" s="27" t="str">
        <x:f>IF(C11&gt;0,"MEASURED","FAIL")</x:f>
        <x:v>MEASURED</x:v>
      </x:c>
    </x:row>
    <x:row r="12">
      <x:c r="A12" s="10" t="str">
        <x:v>Chakchaki</x:v>
      </x:c>
      <x:c r="B12" s="10" t="str">
        <x:v>CV-FRONT-3Q-R</x:v>
      </x:c>
      <x:c r="C12" s="10" t="n">
        <x:v>742</x:v>
      </x:c>
      <x:c r="D12" s="10" t="n">
        <x:v>369</x:v>
      </x:c>
      <x:c r="E12" s="10" t="n">
        <x:v>794</x:v>
      </x:c>
      <x:c r="F12" s="26" t="n">
        <x:v>0.141178</x:v>
      </x:c>
      <x:c r="G12" s="26" t="n">
        <x:v>0.858822</x:v>
      </x:c>
      <x:c r="H12" s="27" t="str">
        <x:f>IF(C12&gt;0,"MEASURED","FAIL")</x:f>
        <x:v>MEASURED</x:v>
      </x:c>
    </x:row>
    <x:row r="13">
      <x:c r="A13" s="10" t="str">
        <x:v>Chakchaki</x:v>
      </x:c>
      <x:c r="B13" s="10" t="str">
        <x:v>CV-ACCESSORY-OFF-FRONT</x:v>
      </x:c>
      <x:c r="C13" s="10" t="n">
        <x:v>853</x:v>
      </x:c>
      <x:c r="D13" s="10" t="n">
        <x:v>714</x:v>
      </x:c>
      <x:c r="E13" s="10" t="n">
        <x:v>854</x:v>
      </x:c>
      <x:c r="F13" s="26" t="n">
        <x:v>0.152267</x:v>
      </x:c>
      <x:c r="G13" s="26" t="n">
        <x:v>0.847733</x:v>
      </x:c>
      <x:c r="H13" s="27" t="str">
        <x:f>IF(C13&gt;0,"MEASURED","FAIL")</x:f>
        <x:v>MEASURED</x:v>
      </x:c>
    </x:row>
    <x:row r="14">
      <x:c r="A14" s="10" t="str">
        <x:v>Chakchaki</x:v>
      </x:c>
      <x:c r="B14" s="10" t="str">
        <x:v>CV-ACCESSORY-OFF-BACK</x:v>
      </x:c>
      <x:c r="C14" s="10" t="n">
        <x:v>766</x:v>
      </x:c>
      <x:c r="D14" s="10" t="n">
        <x:v>391</x:v>
      </x:c>
      <x:c r="E14" s="10" t="n">
        <x:v>813</x:v>
      </x:c>
      <x:c r="F14" s="26" t="n">
        <x:v>0.151001</x:v>
      </x:c>
      <x:c r="G14" s="26" t="n">
        <x:v>0.848999</x:v>
      </x:c>
      <x:c r="H14" s="27" t="str">
        <x:f>IF(C14&gt;0,"MEASURED","FAIL")</x:f>
        <x:v>MEASURED</x:v>
      </x:c>
    </x:row>
    <x:row r="15">
      <x:c r="A15" s="10" t="str">
        <x:v>Chakchaki</x:v>
      </x:c>
      <x:c r="B15" s="10" t="str">
        <x:v>CV-SILHOUETTE-FRONT</x:v>
      </x:c>
      <x:c r="C15" s="10" t="n">
        <x:v>742</x:v>
      </x:c>
      <x:c r="D15" s="10" t="n">
        <x:v>375</x:v>
      </x:c>
      <x:c r="E15" s="10" t="n">
        <x:v>791</x:v>
      </x:c>
      <x:c r="F15" s="26" t="n">
        <x:v>0.171958</x:v>
      </x:c>
      <x:c r="G15" s="26" t="n">
        <x:v>0.828042</x:v>
      </x:c>
      <x:c r="H15" s="27" t="str">
        <x:f>IF(C15&gt;0,"MEASURED","FAIL")</x:f>
        <x:v>MEASURED</x:v>
      </x:c>
    </x:row>
    <x:row r="16">
      <x:c r="A16" s="10" t="str">
        <x:v>Chakchaki</x:v>
      </x:c>
      <x:c r="B16" s="10" t="str">
        <x:v>CV-SILHOUETTE-SIDE</x:v>
      </x:c>
      <x:c r="C16" s="10" t="n">
        <x:v>732</x:v>
      </x:c>
      <x:c r="D16" s="10" t="n">
        <x:v>261</x:v>
      </x:c>
      <x:c r="E16" s="10" t="n">
        <x:v>792</x:v>
      </x:c>
      <x:c r="F16" s="26" t="n">
        <x:v>0.125753</x:v>
      </x:c>
      <x:c r="G16" s="26" t="n">
        <x:v>0.874247</x:v>
      </x:c>
      <x:c r="H16" s="27" t="str">
        <x:f>IF(C16&gt;0,"MEASURED","FAIL")</x:f>
        <x:v>MEASURED</x:v>
      </x:c>
    </x:row>
    <x:row r="17">
      <x:c r="A17" s="10" t="str">
        <x:v>Chakchaki</x:v>
      </x:c>
      <x:c r="B17" s="10" t="str">
        <x:v>CV-SILHOUETTE-3Q</x:v>
      </x:c>
      <x:c r="C17" s="10" t="n">
        <x:v>855</x:v>
      </x:c>
      <x:c r="D17" s="10" t="n">
        <x:v>1011</x:v>
      </x:c>
      <x:c r="E17" s="10" t="n">
        <x:v>854</x:v>
      </x:c>
      <x:c r="F17" s="26" t="n">
        <x:v>0.17184</x:v>
      </x:c>
      <x:c r="G17" s="26" t="n">
        <x:v>0.82816</x:v>
      </x:c>
      <x:c r="H17" s="27" t="str">
        <x:f>IF(C17&gt;0,"MEASURED","FAIL")</x:f>
        <x:v>MEASURED</x:v>
      </x:c>
    </x:row>
    <x:row r="18">
      <x:c r="A18" s="10" t="str">
        <x:v>Chakchaki</x:v>
      </x:c>
      <x:c r="B18" s="10" t="str">
        <x:v>CV-READABILITY-32</x:v>
      </x:c>
      <x:c r="C18" s="10" t="n">
        <x:v>855</x:v>
      </x:c>
      <x:c r="D18" s="10" t="n">
        <x:v>1003</x:v>
      </x:c>
      <x:c r="E18" s="10" t="n">
        <x:v>854</x:v>
      </x:c>
      <x:c r="F18" s="26" t="n">
        <x:v>0.044706</x:v>
      </x:c>
      <x:c r="G18" s="26" t="n">
        <x:v>0.955294</x:v>
      </x:c>
      <x:c r="H18" s="27" t="str">
        <x:f>IF(C18&gt;0,"MEASURED","FAIL")</x:f>
        <x:v>MEASURED</x:v>
      </x:c>
    </x:row>
    <x:row r="19">
      <x:c r="A19" s="10" t="str">
        <x:v>Chakchaki</x:v>
      </x:c>
      <x:c r="B19" s="10" t="str">
        <x:v>CV-READABILITY-64</x:v>
      </x:c>
      <x:c r="C19" s="10" t="n">
        <x:v>855</x:v>
      </x:c>
      <x:c r="D19" s="10" t="n">
        <x:v>1009</x:v>
      </x:c>
      <x:c r="E19" s="10" t="n">
        <x:v>854</x:v>
      </x:c>
      <x:c r="F19" s="26" t="n">
        <x:v>0.096177</x:v>
      </x:c>
      <x:c r="G19" s="26" t="n">
        <x:v>0.903823</x:v>
      </x:c>
      <x:c r="H19" s="27" t="str">
        <x:f>IF(C19&gt;0,"MEASURED","FAIL")</x:f>
        <x:v>MEASURED</x:v>
      </x:c>
    </x:row>
    <x:row r="20">
      <x:c r="A20" s="10" t="str">
        <x:v>Chakchaki</x:v>
      </x:c>
      <x:c r="B20" s="10" t="str">
        <x:v>CV-READABILITY-128</x:v>
      </x:c>
      <x:c r="C20" s="10" t="n">
        <x:v>810</x:v>
      </x:c>
      <x:c r="D20" s="10" t="n">
        <x:v>1010</x:v>
      </x:c>
      <x:c r="E20" s="10" t="n">
        <x:v>809</x:v>
      </x:c>
      <x:c r="F20" s="26" t="n">
        <x:v>0.161754</x:v>
      </x:c>
      <x:c r="G20" s="26" t="n">
        <x:v>0.838246</x:v>
      </x:c>
      <x:c r="H20" s="27" t="str">
        <x:f>IF(C20&gt;0,"MEASURED","FAIL")</x:f>
        <x:v>MEASURED</x:v>
      </x:c>
    </x:row>
    <x:row r="21">
      <x:c r="A21" s="10" t="str">
        <x:v>Gongsickyi</x:v>
      </x:c>
      <x:c r="B21" s="10" t="str">
        <x:v>CV-FRONT</x:v>
      </x:c>
      <x:c r="C21" s="10" t="n">
        <x:v>643</x:v>
      </x:c>
      <x:c r="D21" s="10" t="n">
        <x:v>696</x:v>
      </x:c>
      <x:c r="E21" s="10" t="n">
        <x:v>795</x:v>
      </x:c>
      <x:c r="F21" s="26" t="n">
        <x:v>0.288937</x:v>
      </x:c>
      <x:c r="G21" s="26" t="n">
        <x:v>0.711063</x:v>
      </x:c>
      <x:c r="H21" s="27" t="str">
        <x:f>IF(C21&gt;0,"MEASURED","FAIL")</x:f>
        <x:v>MEASURED</x:v>
      </x:c>
    </x:row>
    <x:row r="22">
      <x:c r="A22" s="10" t="str">
        <x:v>Gongsickyi</x:v>
      </x:c>
      <x:c r="B22" s="10" t="str">
        <x:v>CV-FRONT-3Q-L</x:v>
      </x:c>
      <x:c r="C22" s="10" t="n">
        <x:v>643</x:v>
      </x:c>
      <x:c r="D22" s="10" t="n">
        <x:v>689</x:v>
      </x:c>
      <x:c r="E22" s="10" t="n">
        <x:v>795</x:v>
      </x:c>
      <x:c r="F22" s="26" t="n">
        <x:v>0.290137</x:v>
      </x:c>
      <x:c r="G22" s="26" t="n">
        <x:v>0.709863</x:v>
      </x:c>
      <x:c r="H22" s="27" t="str">
        <x:f>IF(C22&gt;0,"MEASURED","FAIL")</x:f>
        <x:v>MEASURED</x:v>
      </x:c>
    </x:row>
    <x:row r="23">
      <x:c r="A23" s="10" t="str">
        <x:v>Gongsickyi</x:v>
      </x:c>
      <x:c r="B23" s="10" t="str">
        <x:v>CV-SIDE-L</x:v>
      </x:c>
      <x:c r="C23" s="10" t="n">
        <x:v>642</x:v>
      </x:c>
      <x:c r="D23" s="10" t="n">
        <x:v>579</x:v>
      </x:c>
      <x:c r="E23" s="10" t="n">
        <x:v>795</x:v>
      </x:c>
      <x:c r="F23" s="26" t="n">
        <x:v>0.247438</x:v>
      </x:c>
      <x:c r="G23" s="26" t="n">
        <x:v>0.752562</x:v>
      </x:c>
      <x:c r="H23" s="27" t="str">
        <x:f>IF(C23&gt;0,"MEASURED","FAIL")</x:f>
        <x:v>MEASURED</x:v>
      </x:c>
    </x:row>
    <x:row r="24">
      <x:c r="A24" s="10" t="str">
        <x:v>Gongsickyi</x:v>
      </x:c>
      <x:c r="B24" s="10" t="str">
        <x:v>CV-BACK-3Q-L</x:v>
      </x:c>
      <x:c r="C24" s="10" t="n">
        <x:v>643</x:v>
      </x:c>
      <x:c r="D24" s="10" t="n">
        <x:v>698</x:v>
      </x:c>
      <x:c r="E24" s="10" t="n">
        <x:v>795</x:v>
      </x:c>
      <x:c r="F24" s="26" t="n">
        <x:v>0.31142</x:v>
      </x:c>
      <x:c r="G24" s="26" t="n">
        <x:v>0.68858</x:v>
      </x:c>
      <x:c r="H24" s="27" t="str">
        <x:f>IF(C24&gt;0,"MEASURED","FAIL")</x:f>
        <x:v>MEASURED</x:v>
      </x:c>
    </x:row>
    <x:row r="25">
      <x:c r="A25" s="10" t="str">
        <x:v>Gongsickyi</x:v>
      </x:c>
      <x:c r="B25" s="10" t="str">
        <x:v>CV-BACK</x:v>
      </x:c>
      <x:c r="C25" s="10" t="n">
        <x:v>642</x:v>
      </x:c>
      <x:c r="D25" s="10" t="n">
        <x:v>675</x:v>
      </x:c>
      <x:c r="E25" s="10" t="n">
        <x:v>794</x:v>
      </x:c>
      <x:c r="F25" s="26" t="n">
        <x:v>0.296469</x:v>
      </x:c>
      <x:c r="G25" s="26" t="n">
        <x:v>0.703531</x:v>
      </x:c>
      <x:c r="H25" s="27" t="str">
        <x:f>IF(C25&gt;0,"MEASURED","FAIL")</x:f>
        <x:v>MEASURED</x:v>
      </x:c>
    </x:row>
    <x:row r="26">
      <x:c r="A26" s="10" t="str">
        <x:v>Gongsickyi</x:v>
      </x:c>
      <x:c r="B26" s="10" t="str">
        <x:v>CV-BACK-3Q-R</x:v>
      </x:c>
      <x:c r="C26" s="10" t="n">
        <x:v>642</x:v>
      </x:c>
      <x:c r="D26" s="10" t="n">
        <x:v>615</x:v>
      </x:c>
      <x:c r="E26" s="10" t="n">
        <x:v>794</x:v>
      </x:c>
      <x:c r="F26" s="26" t="n">
        <x:v>0.288302</x:v>
      </x:c>
      <x:c r="G26" s="26" t="n">
        <x:v>0.711698</x:v>
      </x:c>
      <x:c r="H26" s="27" t="str">
        <x:f>IF(C26&gt;0,"MEASURED","FAIL")</x:f>
        <x:v>MEASURED</x:v>
      </x:c>
    </x:row>
    <x:row r="27">
      <x:c r="A27" s="10" t="str">
        <x:v>Gongsickyi</x:v>
      </x:c>
      <x:c r="B27" s="10" t="str">
        <x:v>CV-SIDE-R</x:v>
      </x:c>
      <x:c r="C27" s="10" t="n">
        <x:v>643</x:v>
      </x:c>
      <x:c r="D27" s="10" t="n">
        <x:v>567</x:v>
      </x:c>
      <x:c r="E27" s="10" t="n">
        <x:v>795</x:v>
      </x:c>
      <x:c r="F27" s="26" t="n">
        <x:v>0.247887</x:v>
      </x:c>
      <x:c r="G27" s="26" t="n">
        <x:v>0.752113</x:v>
      </x:c>
      <x:c r="H27" s="27" t="str">
        <x:f>IF(C27&gt;0,"MEASURED","FAIL")</x:f>
        <x:v>MEASURED</x:v>
      </x:c>
    </x:row>
    <x:row r="28">
      <x:c r="A28" s="10" t="str">
        <x:v>Gongsickyi</x:v>
      </x:c>
      <x:c r="B28" s="10" t="str">
        <x:v>CV-FRONT-3Q-R</x:v>
      </x:c>
      <x:c r="C28" s="10" t="n">
        <x:v>643</x:v>
      </x:c>
      <x:c r="D28" s="10" t="n">
        <x:v>613</x:v>
      </x:c>
      <x:c r="E28" s="10" t="n">
        <x:v>795</x:v>
      </x:c>
      <x:c r="F28" s="26" t="n">
        <x:v>0.269497</x:v>
      </x:c>
      <x:c r="G28" s="26" t="n">
        <x:v>0.730503</x:v>
      </x:c>
      <x:c r="H28" s="27" t="str">
        <x:f>IF(C28&gt;0,"MEASURED","FAIL")</x:f>
        <x:v>MEASURED</x:v>
      </x:c>
    </x:row>
    <x:row r="29">
      <x:c r="A29" s="10" t="str">
        <x:v>Gongsickyi</x:v>
      </x:c>
      <x:c r="B29" s="10" t="str">
        <x:v>CV-ACCESSORY-OFF-FRONT</x:v>
      </x:c>
      <x:c r="C29" s="10" t="n">
        <x:v>855</x:v>
      </x:c>
      <x:c r="D29" s="10" t="n">
        <x:v>837</x:v>
      </x:c>
      <x:c r="E29" s="10" t="n">
        <x:v>854</x:v>
      </x:c>
      <x:c r="F29" s="26" t="n">
        <x:v>0.227064</x:v>
      </x:c>
      <x:c r="G29" s="26" t="n">
        <x:v>0.772936</x:v>
      </x:c>
      <x:c r="H29" s="27" t="str">
        <x:f>IF(C29&gt;0,"MEASURED","FAIL")</x:f>
        <x:v>MEASURED</x:v>
      </x:c>
    </x:row>
    <x:row r="30">
      <x:c r="A30" s="10" t="str">
        <x:v>Gongsickyi</x:v>
      </x:c>
      <x:c r="B30" s="10" t="str">
        <x:v>CV-ACCESSORY-OFF-BACK</x:v>
      </x:c>
      <x:c r="C30" s="10" t="n">
        <x:v>855</x:v>
      </x:c>
      <x:c r="D30" s="10" t="n">
        <x:v>999</x:v>
      </x:c>
      <x:c r="E30" s="10" t="n">
        <x:v>854</x:v>
      </x:c>
      <x:c r="F30" s="26" t="n">
        <x:v>0.235246</x:v>
      </x:c>
      <x:c r="G30" s="26" t="n">
        <x:v>0.764754</x:v>
      </x:c>
      <x:c r="H30" s="27" t="str">
        <x:f>IF(C30&gt;0,"MEASURED","FAIL")</x:f>
        <x:v>MEASURED</x:v>
      </x:c>
    </x:row>
    <x:row r="31">
      <x:c r="A31" s="10" t="str">
        <x:v>Gongsickyi</x:v>
      </x:c>
      <x:c r="B31" s="10" t="str">
        <x:v>CV-SILHOUETTE-FRONT</x:v>
      </x:c>
      <x:c r="C31" s="10" t="n">
        <x:v>855</x:v>
      </x:c>
      <x:c r="D31" s="10" t="n">
        <x:v>1014</x:v>
      </x:c>
      <x:c r="E31" s="10" t="n">
        <x:v>854</x:v>
      </x:c>
      <x:c r="F31" s="26" t="n">
        <x:v>0.228277</x:v>
      </x:c>
      <x:c r="G31" s="26" t="n">
        <x:v>0.771723</x:v>
      </x:c>
      <x:c r="H31" s="27" t="str">
        <x:f>IF(C31&gt;0,"MEASURED","FAIL")</x:f>
        <x:v>MEASURED</x:v>
      </x:c>
    </x:row>
    <x:row r="32">
      <x:c r="A32" s="10" t="str">
        <x:v>Gongsickyi</x:v>
      </x:c>
      <x:c r="B32" s="10" t="str">
        <x:v>CV-SILHOUETTE-SIDE</x:v>
      </x:c>
      <x:c r="C32" s="10" t="n">
        <x:v>855</x:v>
      </x:c>
      <x:c r="D32" s="10" t="n">
        <x:v>998</x:v>
      </x:c>
      <x:c r="E32" s="10" t="n">
        <x:v>854</x:v>
      </x:c>
      <x:c r="F32" s="26" t="n">
        <x:v>0.20217</x:v>
      </x:c>
      <x:c r="G32" s="26" t="n">
        <x:v>0.79783</x:v>
      </x:c>
      <x:c r="H32" s="27" t="str">
        <x:f>IF(C32&gt;0,"MEASURED","FAIL")</x:f>
        <x:v>MEASURED</x:v>
      </x:c>
    </x:row>
    <x:row r="33">
      <x:c r="A33" s="10" t="str">
        <x:v>Gongsickyi</x:v>
      </x:c>
      <x:c r="B33" s="10" t="str">
        <x:v>CV-SILHOUETTE-3Q</x:v>
      </x:c>
      <x:c r="C33" s="10" t="n">
        <x:v>855</x:v>
      </x:c>
      <x:c r="D33" s="10" t="n">
        <x:v>821</x:v>
      </x:c>
      <x:c r="E33" s="10" t="n">
        <x:v>854</x:v>
      </x:c>
      <x:c r="F33" s="26" t="n">
        <x:v>0.250764</x:v>
      </x:c>
      <x:c r="G33" s="26" t="n">
        <x:v>0.749236</x:v>
      </x:c>
      <x:c r="H33" s="27" t="str">
        <x:f>IF(C33&gt;0,"MEASURED","FAIL")</x:f>
        <x:v>MEASURED</x:v>
      </x:c>
    </x:row>
    <x:row r="34">
      <x:c r="A34" s="10" t="str">
        <x:v>Gongsickyi</x:v>
      </x:c>
      <x:c r="B34" s="10" t="str">
        <x:v>CV-READABILITY-32</x:v>
      </x:c>
      <x:c r="C34" s="10" t="n">
        <x:v>500</x:v>
      </x:c>
      <x:c r="D34" s="10" t="n">
        <x:v>418</x:v>
      </x:c>
      <x:c r="E34" s="10" t="n">
        <x:v>853</x:v>
      </x:c>
      <x:c r="F34" s="26" t="n">
        <x:v>0.04389</x:v>
      </x:c>
      <x:c r="G34" s="26" t="n">
        <x:v>0.95611</x:v>
      </x:c>
      <x:c r="H34" s="27" t="str">
        <x:f>IF(C34&gt;0,"MEASURED","FAIL")</x:f>
        <x:v>MEASURED</x:v>
      </x:c>
    </x:row>
    <x:row r="35">
      <x:c r="A35" s="10" t="str">
        <x:v>Gongsickyi</x:v>
      </x:c>
      <x:c r="B35" s="10" t="str">
        <x:v>CV-READABILITY-64</x:v>
      </x:c>
      <x:c r="C35" s="10" t="n">
        <x:v>645</x:v>
      </x:c>
      <x:c r="D35" s="10" t="n">
        <x:v>785</x:v>
      </x:c>
      <x:c r="E35" s="10" t="n">
        <x:v>853</x:v>
      </x:c>
      <x:c r="F35" s="26" t="n">
        <x:v>0.126185</x:v>
      </x:c>
      <x:c r="G35" s="26" t="n">
        <x:v>0.873815</x:v>
      </x:c>
      <x:c r="H35" s="27" t="str">
        <x:f>IF(C35&gt;0,"MEASURED","FAIL")</x:f>
        <x:v>MEASURED</x:v>
      </x:c>
    </x:row>
    <x:row r="36">
      <x:c r="A36" s="10" t="str">
        <x:v>Gongsickyi</x:v>
      </x:c>
      <x:c r="B36" s="10" t="str">
        <x:v>CV-READABILITY-128</x:v>
      </x:c>
      <x:c r="C36" s="10" t="n">
        <x:v>830</x:v>
      </x:c>
      <x:c r="D36" s="10" t="n">
        <x:v>698</x:v>
      </x:c>
      <x:c r="E36" s="10" t="n">
        <x:v>854</x:v>
      </x:c>
      <x:c r="F36" s="26" t="n">
        <x:v>0.316031</x:v>
      </x:c>
      <x:c r="G36" s="26" t="n">
        <x:v>0.683969</x:v>
      </x:c>
      <x:c r="H36" s="27" t="str">
        <x:f>IF(C36&gt;0,"MEASURED","FAIL")</x:f>
        <x:v>MEASURED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70" hidden="0" customWidth="1"/>
    <x:col min="4" max="4" width="70" hidden="0" customWidth="1"/>
  </x:cols>
  <x:sheetData>
    <x:row r="1" ht="34" customHeight="1">
      <x:c r="A1" s="3" t="str">
        <x:v>Evidence Sources</x:v>
      </x:c>
    </x:row>
    <x:row r="2" ht="24" customHeight="1">
      <x:c r="A2" s="6" t="str">
        <x:v>SHA-256 values bind this register to the audited candidate files.</x:v>
      </x:c>
    </x:row>
    <x:row r="4" ht="30" customHeight="1">
      <x:c r="A4" s="22" t="str">
        <x:v>Type</x:v>
      </x:c>
      <x:c r="B4" s="22" t="str">
        <x:v>Character</x:v>
      </x:c>
      <x:c r="C4" s="22" t="str">
        <x:v>Path</x:v>
      </x:c>
      <x:c r="D4" s="22" t="str">
        <x:v>SHA-256</x:v>
      </x:c>
    </x:row>
    <x:row r="5">
      <x:c r="A5" s="10" t="str">
        <x:v>Candidate board</x:v>
      </x:c>
      <x:c r="B5" s="10" t="str">
        <x:v>Chakchaki</x:v>
      </x:c>
      <x:c r="C5" s="10" t="str">
        <x:v>evidence/gate-1/candidates/Chakchaki_Canonical_Turnaround_Candidate_v3.png</x:v>
      </x:c>
      <x:c r="D5" s="10" t="str">
        <x:v>916636d0cb1603ad0eed785cf9e827b693687fe437c1eb24014724a0f1b57480</x:v>
      </x:c>
    </x:row>
    <x:row r="6">
      <x:c r="A6" s="10" t="str">
        <x:v>Candidate board</x:v>
      </x:c>
      <x:c r="B6" s="10" t="str">
        <x:v>Gongsickyi</x:v>
      </x:c>
      <x:c r="C6" s="10" t="str">
        <x:v>evidence/gate-1/candidates/Gongsickyi_Canonical_Turnaround_Candidate_v4.png</x:v>
      </x:c>
      <x:c r="D6" s="10" t="str">
        <x:v>9c8061afab5bc381edc02780c0ee9265489d977f3cecfc1e8e52ab6467b01157</x:v>
      </x:c>
    </x:row>
    <x:row r="7">
      <x:c r="A7" s="10" t="str">
        <x:v>Automated QA</x:v>
      </x:c>
      <x:c r="B7" s="10" t="str">
        <x:v>Both</x:v>
      </x:c>
      <x:c r="C7" s="10" t="str">
        <x:v>docs/stage8/evidence/gate1/Gate1_Automated_QA_v5.2.0.json</x:v>
      </x:c>
      <x:c r="D7" s="10" t="str">
        <x:v>See docs/stage8/evidence/gate1/SHA256SUMS.txt</x:v>
      </x:c>
    </x:row>
  </x:sheetData>
  <x:mergeCells>
    <x:mergeCell ref="A1:D1"/>
    <x:mergeCell ref="A2:D2"/>
  </x:mergeCells>
  <x:pageMargins left="0.7" right="0.7" top="0.75" bottom="0.75" header="0.3" footer="0.3"/>
</x:worksheet>
</file>